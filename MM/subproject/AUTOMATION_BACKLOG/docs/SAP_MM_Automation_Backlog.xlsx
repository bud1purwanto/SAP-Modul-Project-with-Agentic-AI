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se Log" sheetId="2" state="visible" r:id="rId4"/>
    <sheet name="Automation Backlog" sheetId="3" state="visible" r:id="rId5"/>
    <sheet name="Functional Spec" sheetId="4" state="visible" r:id="rId6"/>
    <sheet name="Priority Matrix" sheetId="5" state="visible" r:id="rId7"/>
  </sheets>
  <definedNames>
    <definedName function="false" hidden="true" localSheetId="2" name="_xlnm._FilterDatabase" vbProcedure="false">'Automation Backlog'!$A$1:$J$17</definedName>
    <definedName function="false" hidden="true" localSheetId="1" name="_xlnm._FilterDatabase" vbProcedure="false">'Case Log'!$A$1:$I$24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<sst xmlns="http://schemas.openxmlformats.org/spreadsheetml/2006/main" count="586" uniqueCount="456">
  <si>
    <t xml:space="preserve">ANALISA CASE SAP MM → AUTOMATION BACKLOG UNTUK TIM ABAP</t>
  </si>
  <si>
    <t xml:space="preserve">Perusahaan</t>
  </si>
  <si>
    <t xml:space="preserve">PT. Trias Sentosa, Tbk</t>
  </si>
  <si>
    <t xml:space="preserve">Modul</t>
  </si>
  <si>
    <t xml:space="preserve">SAP MM (Materials Management) — ECC 6.0 EHP6, SAP_APPL 606/SP03, NetWeaver 7.31</t>
  </si>
  <si>
    <t xml:space="preserve">Disusun oleh</t>
  </si>
  <si>
    <t xml:space="preserve">Budi Purwanto (IT) — SAP MM Consultant</t>
  </si>
  <si>
    <t xml:space="preserve">Tanggal</t>
  </si>
  <si>
    <t xml:space="preserve">28 Juli 2026</t>
  </si>
  <si>
    <t xml:space="preserve">Tujuan</t>
  </si>
  <si>
    <t xml:space="preserve">Mengidentifikasi case MM yang berulang, memetakan root cause-nya, dan mengusulkan objek automation (RICEF) yang siap di-assign ke tim ABAP.</t>
  </si>
  <si>
    <t xml:space="preserve">SUMBER DATA</t>
  </si>
  <si>
    <t xml:space="preserve">1. Knowledge Base (RAG)</t>
  </si>
  <si>
    <t xml:space="preserve">Dokumen 'MM Issue and Solution v4' — 18 kategori issue, ~45 case terdokumentasi (2020–2026). Sumber utama analisa ini.</t>
  </si>
  <si>
    <t xml:space="preserve">2. Blueprint MM</t>
  </si>
  <si>
    <t xml:space="preserve">BP-TTA/TTE-MMPU01..15 (Procurement), MMMD02/05/07/08/11 (Master Data), MMCV01 (Claim to Vendor), MM-BP-PU02 (Procurement with MRP).</t>
  </si>
  <si>
    <t xml:space="preserve">3. Email Support</t>
  </si>
  <si>
    <t xml:space="preserve">Inbox IT / IT HELPDESK, periode Mei–Juli 2026. Termasuk thread project 'Purchasing Restructure: PO Auto-Approval Sprint 1' dan case master data (KW75-EXPIRED, PO 4508004025).</t>
  </si>
  <si>
    <t xml:space="preserve">CARA BACA FILE INI</t>
  </si>
  <si>
    <t xml:space="preserve">Sheet 'Case Log'</t>
  </si>
  <si>
    <t xml:space="preserve">Daftar case berulang hasil ekstraksi. Kolom 'Frekuensi' = estimasi berdasarkan jumlah entri sejenis di knowledge base + email.</t>
  </si>
  <si>
    <t xml:space="preserve">Sheet 'Automation Backlog'</t>
  </si>
  <si>
    <t xml:space="preserve">15 usulan automation. Ini sheet utama yang di-deliver ke tim ABAP.</t>
  </si>
  <si>
    <t xml:space="preserve">Sheet 'Functional Spec'</t>
  </si>
  <si>
    <t xml:space="preserve">Spesifikasi ringkas per item: objective, trigger, tabel sumber, logic, output, tcode.</t>
  </si>
  <si>
    <t xml:space="preserve">Sheet 'Priority Matrix'</t>
  </si>
  <si>
    <t xml:space="preserve">Scoring otomatis (formula). Score = (Frekuensi x Dampak) / Effort. Semakin tinggi = semakin prioritas.</t>
  </si>
  <si>
    <t xml:space="preserve">CATATAN &amp; ASUMSI</t>
  </si>
  <si>
    <t xml:space="preserve">Asumsi 1</t>
  </si>
  <si>
    <t xml:space="preserve">Skor Frekuensi/Dampak/Effort adalah ESTIMASI KONSULTAN berbasis jumlah kemunculan case di knowledge base dan solved time yang tercatat. Belum divalidasi dengan data ticket helpdesk terstruktur — mohon dikalibrasi bersama tim IT Helpdesk sebelum final.</t>
  </si>
  <si>
    <t xml:space="preserve">Asumsi 2</t>
  </si>
  <si>
    <t xml:space="preserve">Estimasi mandays ABAP bersifat indikatif (belum melalui sizing formal tim ABAP).</t>
  </si>
  <si>
    <t xml:space="preserve">Asumsi 3</t>
  </si>
  <si>
    <t xml:space="preserve">Semua usulan dirancang untuk ECC 6.0 EHP6 dengan SAP GUI klasik (tcode-based). Tidak ada dependensi ke Fiori atau fitur S/4HANA.</t>
  </si>
  <si>
    <t xml:space="preserve">Batasan</t>
  </si>
  <si>
    <t xml:space="preserve">Enhancement berbasis BAdI/User Exit ditandai eksplisit di kolom 'Tipe Objek' — perlu persetujuan karena menyentuh core transaction.</t>
  </si>
  <si>
    <t xml:space="preserve">No</t>
  </si>
  <si>
    <t xml:space="preserve">Kategori Case</t>
  </si>
  <si>
    <t xml:space="preserve">Deskripsi Case (dari Issue &amp; Solution / Email)</t>
  </si>
  <si>
    <t xml:space="preserve">Root Cause</t>
  </si>
  <si>
    <t xml:space="preserve">Penanganan Saat Ini (Manual)</t>
  </si>
  <si>
    <t xml:space="preserve">Solved Time Tercatat</t>
  </si>
  <si>
    <t xml:space="preserve">Freq.</t>
  </si>
  <si>
    <t xml:space="preserve">Sumber</t>
  </si>
  <si>
    <t xml:space="preserve">Ref. Automation</t>
  </si>
  <si>
    <t xml:space="preserve">Handling Unit / Sloc</t>
  </si>
  <si>
    <t xml:space="preserve">HU tidak bisa dipindah ke storage bin / sloc tujuan (2803→2801, 2326→2325)</t>
  </si>
  <si>
    <t xml:space="preserve">Batch dalam 1 HU berada di sloc berbeda, atau stock masih Blocked/Restricted</t>
  </si>
  <si>
    <t xml:space="preserve">IT cek ZBMBC/HUMO/HU03 satu per satu, email user untuk pindahkan stock, cek ulang MSC2N</t>
  </si>
  <si>
    <t xml:space="preserve">30 menit</t>
  </si>
  <si>
    <t xml:space="preserve">Sangat Sering</t>
  </si>
  <si>
    <t xml:space="preserve">Issue&amp;Solution kat.14 (Issue 1-4)</t>
  </si>
  <si>
    <t xml:space="preserve">A06</t>
  </si>
  <si>
    <t xml:space="preserve">HU gagal transfer, kolom Matdoc kosong (ZVLMOVE1)</t>
  </si>
  <si>
    <t xml:space="preserve">Material dalam HU belum di-Post Goods Issue di VL02N</t>
  </si>
  <si>
    <t xml:space="preserve">Trace HU via tabel VEKP → VEPO → cari DO → PGI manual di VL02N</t>
  </si>
  <si>
    <t xml:space="preserve">Sering</t>
  </si>
  <si>
    <t xml:space="preserve">Issue&amp;Solution kat.14 Issue 3</t>
  </si>
  <si>
    <t xml:space="preserve">Error sloc tidak sesuai saat Packing (ZHU5SO) / Unpack (ZHU5FS, ZHU02A)</t>
  </si>
  <si>
    <t xml:space="preserve">Batch belum berada di sloc yang sesuai dengan Packing Instruction</t>
  </si>
  <si>
    <t xml:space="preserve">Cek sloc asal HU, cek posisi batch di ZBMBC, arahkan user pindah stock</t>
  </si>
  <si>
    <t xml:space="preserve">30–60 menit</t>
  </si>
  <si>
    <t xml:space="preserve">Issue&amp;Solution kat.6,7,8</t>
  </si>
  <si>
    <t xml:space="preserve">Packing Instruction</t>
  </si>
  <si>
    <t xml:space="preserve">Gagal HU karena Material pada PI tidak sesuai dengan Report Stock (ZBMBC); PI penuh (no. urut mencapai 99)</t>
  </si>
  <si>
    <t xml:space="preserve">Tidak ada validasi kesesuaian material PI vs batch aktual; tidak ada alert PI mendekati kapasitas</t>
  </si>
  <si>
    <t xml:space="preserve">Cek ZHU4PI display, bandingkan manual dengan ZBMBC</t>
  </si>
  <si>
    <t xml:space="preserve">20–45 menit</t>
  </si>
  <si>
    <t xml:space="preserve">Issue&amp;Solution kat.5 (Issue 1-3)</t>
  </si>
  <si>
    <t xml:space="preserve">Batch Master</t>
  </si>
  <si>
    <t xml:space="preserve">Create batch massal RTP pallet / sideboard dari dokumen SKEP (ratusan batch per dokumen)</t>
  </si>
  <si>
    <t xml:space="preserve">User hanya punya otorisasi MSC1N (satu per satu); tidak ada tool upload massal untuk user</t>
  </si>
  <si>
    <t xml:space="preserve">IT jalankan LSMW manual, test dulu di QA AIX, cari material number dari deskripsi, cek urutan nomor batch</t>
  </si>
  <si>
    <t xml:space="preserve">15 menit–berjam-jam</t>
  </si>
  <si>
    <t xml:space="preserve">Issue&amp;Solution kat.12 Issue 2</t>
  </si>
  <si>
    <t xml:space="preserve">A01</t>
  </si>
  <si>
    <t xml:space="preserve">RTP Pallet</t>
  </si>
  <si>
    <t xml:space="preserve">Pallet ID tidak bisa dipakai packing — status belum FREE ("Pallet ID sedang digunakan")</t>
  </si>
  <si>
    <t xml:space="preserve">Bug program: tabel ZPALLETR tidak ter-update statusnya saat unpack</t>
  </si>
  <si>
    <t xml:space="preserve">Cek ZMM061, lalu minta tim ABAP update tabel ZPALLETR secara manual</t>
  </si>
  <si>
    <t xml:space="preserve">15–30 menit</t>
  </si>
  <si>
    <t xml:space="preserve">Issue&amp;Solution kat.12 Issue 1&amp;3</t>
  </si>
  <si>
    <t xml:space="preserve">A02</t>
  </si>
  <si>
    <t xml:space="preserve">Sequence ZPALLETR membaca plant 2000 padahal sloc di plant 1000</t>
  </si>
  <si>
    <t xml:space="preserve">Ketidakkonsistenan mapping plant–sloc di program ZPALLETR</t>
  </si>
  <si>
    <t xml:space="preserve">Penyesuaian manual sloc ke plant 1000 di program</t>
  </si>
  <si>
    <t xml:space="preserve">-</t>
  </si>
  <si>
    <t xml:space="preserve">Kadang</t>
  </si>
  <si>
    <t xml:space="preserve">Issue&amp;Solution kat.17</t>
  </si>
  <si>
    <t xml:space="preserve">Master Data Material</t>
  </si>
  <si>
    <t xml:space="preserve">Kesalahan isi template upload master data: material group ↔ valuation class ↔ profit center ↔ plant tidak cocok; kolom plan value/UoM kosong; Account Assignment Group diisi padahal procurement type F</t>
  </si>
  <si>
    <t xml:space="preserve">Tidak ada validator otomatis sebelum upload ZBC001; pengecekan manual pakai file MASTER DATA CHECK.xlsx</t>
  </si>
  <si>
    <t xml:space="preserve">IT cek manual baris per baris di Excel sebelum upload ZBC001</t>
  </si>
  <si>
    <t xml:space="preserve">30 menit–jam</t>
  </si>
  <si>
    <t xml:space="preserve">Issue&amp;Solution bab 'Rule Material Master Data' (kat.1-7)</t>
  </si>
  <si>
    <t xml:space="preserve">A03</t>
  </si>
  <si>
    <t xml:space="preserve">Total Shelf Life salah (RCL-KW75 seharusnya 180 hari); batch existing SLED/BBD tidak ikut berubah setelah MM02</t>
  </si>
  <si>
    <t xml:space="preserve">Perubahan MM02 tidak mem-propagate ke SLED batch existing; harus diupdate manual per batch</t>
  </si>
  <si>
    <t xml:space="preserve">CR ditandatangani user → IT ubah MM02 → update SLED batch satu per satu di MSC2N</t>
  </si>
  <si>
    <t xml:space="preserve">1–4 hari (termasuk CR)</t>
  </si>
  <si>
    <t xml:space="preserve">Email 'KW75-EXPIRED' (Jul 2026)</t>
  </si>
  <si>
    <t xml:space="preserve">A05</t>
  </si>
  <si>
    <t xml:space="preserve">Tim FICO tidak bisa costing material — checkbox variant/configurable tidak bisa dicentang</t>
  </si>
  <si>
    <t xml:space="preserve">Status Configuration Profile masih Locked</t>
  </si>
  <si>
    <t xml:space="preserve">Masuk CU42, ganti status Locked → Released manual</t>
  </si>
  <si>
    <t xml:space="preserve">15 menit</t>
  </si>
  <si>
    <t xml:space="preserve">Issue&amp;Solution kat.11 Issue 1</t>
  </si>
  <si>
    <t xml:space="preserve">A15</t>
  </si>
  <si>
    <t xml:space="preserve">No. Roll perlu ditambahkan ke batch atas permintaan user</t>
  </si>
  <si>
    <t xml:space="preserve">Tidak ada self-service; user tidak punya otorisasi maintain classification batch</t>
  </si>
  <si>
    <t xml:space="preserve">IT masuk MSC2N → tab Classification → input No.Roll → save → balas email</t>
  </si>
  <si>
    <t xml:space="preserve">20 menit</t>
  </si>
  <si>
    <t xml:space="preserve">Issue&amp;Solution kat.11 Issue 3</t>
  </si>
  <si>
    <t xml:space="preserve">Purchase Requisition</t>
  </si>
  <si>
    <t xml:space="preserve">Error "Account assignment mandatory for material X" saat create PR</t>
  </si>
  <si>
    <t xml:space="preserve">Material group belum sesuai/valuation belum lengkap untuk plant terkait</t>
  </si>
  <si>
    <t xml:space="preserve">Cek plant &amp; material group, ubah via MM02, test create PR di QA 320, baru infokan user</t>
  </si>
  <si>
    <t xml:space="preserve">1 jam</t>
  </si>
  <si>
    <t xml:space="preserve">Issue&amp;Solution kat.13 Issue 5</t>
  </si>
  <si>
    <t xml:space="preserve">A04</t>
  </si>
  <si>
    <t xml:space="preserve">Purchase Order</t>
  </si>
  <si>
    <t xml:space="preserve">Error "PO Penuh / Document does not contain..." saat GRN — open quantity habis</t>
  </si>
  <si>
    <t xml:space="preserve">Mapping SO TTA – PO Trias – SO Trias tidak inline (nomor item tidak sama sejak awal)</t>
  </si>
  <si>
    <t xml:space="preserve">IT cek EKPO open qty manual, jelaskan ke user, user buat PO baru / remapping</t>
  </si>
  <si>
    <t xml:space="preserve">Issue&amp;Solution kat.2 Issue 1</t>
  </si>
  <si>
    <t xml:space="preserve">A07</t>
  </si>
  <si>
    <t xml:space="preserve">Quantity GRN / Quantity Actual tidak sama dengan PO (extra length vendor, pembatasan 2 desimal)</t>
  </si>
  <si>
    <t xml:space="preserve">Konversi berat vendor ≠ konversi Trias; toleransi over/under delivery tidak di-set</t>
  </si>
  <si>
    <t xml:space="preserve">Penyesuaian panjang manual sampai total qty match; koordinasi email dengan Logistic</t>
  </si>
  <si>
    <t xml:space="preserve">42 menit</t>
  </si>
  <si>
    <t xml:space="preserve">Issue&amp;Solution kat.13 Issue 6&amp;7</t>
  </si>
  <si>
    <t xml:space="preserve">GRN menghasilkan movement type 161 (nilai minus) pada PO Sample</t>
  </si>
  <si>
    <t xml:space="preserve">Field 'Returns Item' tercentang di PO dan tidak bisa di-uncentang (disable)</t>
  </si>
  <si>
    <t xml:space="preserve">Hapus PO-item, buat PO-item baru tanpa Returns Item, minta Logistic GRN ulang</t>
  </si>
  <si>
    <t xml:space="preserve">Issue&amp;Solution kat.13 Issue 2</t>
  </si>
  <si>
    <t xml:space="preserve">A08</t>
  </si>
  <si>
    <t xml:space="preserve">PO tidak menghasilkan value saat GRN (Amount in LC = 0) pada PO Asset</t>
  </si>
  <si>
    <t xml:space="preserve">Field 'GR non-valuated' tidak tercentang / tidak bisa diubah setelah save</t>
  </si>
  <si>
    <t xml:space="preserve">Testing di QA AIX, buat PO baru referensi PO lama, koordinasi dengan FICO</t>
  </si>
  <si>
    <t xml:space="preserve">10 menit + koordinasi</t>
  </si>
  <si>
    <t xml:space="preserve">Issue&amp;Solution kat.13 Issue 3</t>
  </si>
  <si>
    <t xml:space="preserve">Condition ZS03 harus diinput manual setiap PO Subcont Sparepart, tidak bisa dalam bentuk %</t>
  </si>
  <si>
    <t xml:space="preserve">Master data condition record ZS03 belum dimaintain untuk PO Subcont Sparepart</t>
  </si>
  <si>
    <t xml:space="preserve">Maintain condition record manual per kebutuhan</t>
  </si>
  <si>
    <t xml:space="preserve">Issue&amp;Solution kat.18</t>
  </si>
  <si>
    <t xml:space="preserve">A11</t>
  </si>
  <si>
    <t xml:space="preserve">Subcontracting</t>
  </si>
  <si>
    <t xml:space="preserve">GRN PO Subcont gagal — material component kurang (deficit stock vendor)</t>
  </si>
  <si>
    <t xml:space="preserve">Stok komponen di vendor tidak mencukupi; tidak ada pre-check sebelum GRN</t>
  </si>
  <si>
    <t xml:space="preserve">IT cek ME23N, buka matdoc satu per satu, hitung komposisi GRN per batch manual</t>
  </si>
  <si>
    <t xml:space="preserve">Issue&amp;Solution kat.10</t>
  </si>
  <si>
    <t xml:space="preserve">DO Subcon gagal — error "Essential transfer parameters are missing in record: 000001"</t>
  </si>
  <si>
    <t xml:space="preserve">Nomor Vendor belum diisi Nomor Customer pada master data vendor (XK02 tab Control)</t>
  </si>
  <si>
    <t xml:space="preserve">IT cek XK02, isi nomor customer manual</t>
  </si>
  <si>
    <t xml:space="preserve">40 menit</t>
  </si>
  <si>
    <t xml:space="preserve">Issue&amp;Solution kat.15</t>
  </si>
  <si>
    <t xml:space="preserve">A10</t>
  </si>
  <si>
    <t xml:space="preserve">Tracing / Reporting</t>
  </si>
  <si>
    <t xml:space="preserve">Tracing batch: batch O TTE → vendor batch → SO TTA → PO Trias</t>
  </si>
  <si>
    <t xml:space="preserve">Tidak ada report tracing terintegrasi; harus gabung 4 sumber data</t>
  </si>
  <si>
    <t xml:space="preserve">Export MSEG, MCH1, ZBMBC, COR3 ke Excel lalu VLOOKUP manual antar file</t>
  </si>
  <si>
    <t xml:space="preserve">Issue&amp;Solution kat.9,10 Issue 2</t>
  </si>
  <si>
    <t xml:space="preserve">A09</t>
  </si>
  <si>
    <t xml:space="preserve">Config / Authorization</t>
  </si>
  <si>
    <t xml:space="preserve">Permintaan penambahan Purchasing Group baru (contoh: P14)</t>
  </si>
  <si>
    <t xml:space="preserve">Proses config + change role manual dengan banyak dokumen (CR WRICEF, Transport CR, download T024 4 server, compare before/after)</t>
  </si>
  <si>
    <t xml:space="preserve">Download T024 dari DEV100/DEV130/QA320/PRD, compare manual dengan tools, buat Design Config &amp; Change Role</t>
  </si>
  <si>
    <t xml:space="preserve">3 hari</t>
  </si>
  <si>
    <t xml:space="preserve">Issue&amp;Solution kat.13 Issue 4</t>
  </si>
  <si>
    <t xml:space="preserve">A14</t>
  </si>
  <si>
    <t xml:space="preserve">Approval / Workflow</t>
  </si>
  <si>
    <t xml:space="preserve">PO bernilai kecil (&lt; USD 500) tetap melalui approval manual penuh</t>
  </si>
  <si>
    <t xml:space="preserve">Belum ada auto-approval berbasis threshold; approval berjenjang &amp; notifikasi belum ada</t>
  </si>
  <si>
    <t xml:space="preserve">Approval manual ME29N oleh Manager Purchasing untuk semua nilai PO</t>
  </si>
  <si>
    <t xml:space="preserve">Email 'Purchasing Restructure: PO Auto-Approval Sprint 1' (Jul 2026)</t>
  </si>
  <si>
    <t xml:space="preserve">A12</t>
  </si>
  <si>
    <t xml:space="preserve">Komunikasi</t>
  </si>
  <si>
    <t xml:space="preserve">Setiap penyelesaian case harus dibalas manual via email ke user + CC banyak pihak</t>
  </si>
  <si>
    <t xml:space="preserve">Tidak ada notifikasi otomatis dari SAP saat data selesai diperbaiki</t>
  </si>
  <si>
    <t xml:space="preserve">IT balas email manual dengan lampiran screenshot hasil</t>
  </si>
  <si>
    <t xml:space="preserve">5–15 menit / case</t>
  </si>
  <si>
    <t xml:space="preserve">Pola berulang di seluruh Issue&amp;Solution + inbox</t>
  </si>
  <si>
    <t xml:space="preserve">A13</t>
  </si>
  <si>
    <t xml:space="preserve">ID</t>
  </si>
  <si>
    <t xml:space="preserve">Judul Automation</t>
  </si>
  <si>
    <t xml:space="preserve">Masalah yang Dipecahkan</t>
  </si>
  <si>
    <t xml:space="preserve">Usulan Solusi</t>
  </si>
  <si>
    <t xml:space="preserve">Tipe Objek (RICEF)</t>
  </si>
  <si>
    <t xml:space="preserve">Tcode / Program Terkait</t>
  </si>
  <si>
    <t xml:space="preserve">Modul Terdampak</t>
  </si>
  <si>
    <t xml:space="preserve">Est. Mandays ABAP</t>
  </si>
  <si>
    <t xml:space="preserve">Sprint Usulan</t>
  </si>
  <si>
    <t xml:space="preserve">Owner Fungsional</t>
  </si>
  <si>
    <t xml:space="preserve">Mass Batch Creation Tool (RTP &amp; Umum)</t>
  </si>
  <si>
    <t xml:space="preserve">IT harus create ratusan batch RTP pallet/sideboard per dokumen SKEP via LSMW karena user hanya punya MSC1N (satu per satu).</t>
  </si>
  <si>
    <t xml:space="preserve">Report Z dengan upload Excel/TXT: validasi kodefikasi RTP ID, cek duplikasi &amp; urutan nomor batch, lalu create batch massal via BAPI_BATCH_CREATE. Diberikan otorisasi ke user PPIC sehingga tidak lagi bergantung ke IT.</t>
  </si>
  <si>
    <t xml:space="preserve">Report + BAPI (R)</t>
  </si>
  <si>
    <t xml:space="preserve">Baru: ZMM_BATCH_UPLOAD | Existing: MSC1N, LSMW</t>
  </si>
  <si>
    <t xml:space="preserve">MM, PP, SD</t>
  </si>
  <si>
    <t xml:space="preserve">Sprint 1</t>
  </si>
  <si>
    <t xml:space="preserve">IT SAP MM / PPIC</t>
  </si>
  <si>
    <t xml:space="preserve">Rekonsiliasi &amp; Auto-Update Status ZPALLETR</t>
  </si>
  <si>
    <t xml:space="preserve">Status RTP Pallet stuck (tidak jadi FREE) karena bug program saat unpack, sehingga packing terblokir. Perbaikan dilakukan tim ABAP dengan update tabel manual.</t>
  </si>
  <si>
    <t xml:space="preserve">(a) Perbaiki root cause di program packing/unpack agar ZPALLETR selalu ter-update. (b) Buat report rekonsiliasi ZPALLETR vs HU aktual (VEKP/VEPO) yang menampilkan pallet mismatch + tombol Fix. (c) Perbaiki mapping plant-sloc di ZPALLETR (case plant 1000 vs 2000). (d) Jadwalkan sebagai job harian.</t>
  </si>
  <si>
    <t xml:space="preserve">Enhancement + Report (E/R)</t>
  </si>
  <si>
    <t xml:space="preserve">ZPALLETR, ZMM061, ZVLMOVE1</t>
  </si>
  <si>
    <t xml:space="preserve">MM, SD</t>
  </si>
  <si>
    <t xml:space="preserve">IT SAP MM / Logistic</t>
  </si>
  <si>
    <t xml:space="preserve">Validator Master Data Material (Pre-Upload ZBC001)</t>
  </si>
  <si>
    <t xml:space="preserve">Template upload master data sering salah: kombinasi material group ↔ valuation class ↔ profit center ↔ plant tidak valid, plan value/UoM kosong, Account Assignment Group diisi padahal procurement type F. Dicek manual di Excel.</t>
  </si>
  <si>
    <t xml:space="preserve">Report validator yang membaca file template SEBELUM upload dan menampilkan ALV error/warning per baris berdasarkan rule matrix (disimpan di custom table Z agar bisa dimaintain fungsional tanpa ABAP). Blok upload jika ada error fatal.</t>
  </si>
  <si>
    <t xml:space="preserve">Report + Custom Table (R)</t>
  </si>
  <si>
    <t xml:space="preserve">Baru: ZMM_MD_VALIDATOR | Existing: ZBC001, MM01/MM02</t>
  </si>
  <si>
    <t xml:space="preserve">MM, FI/CO, SD</t>
  </si>
  <si>
    <t xml:space="preserve">IT SAP MM</t>
  </si>
  <si>
    <t xml:space="preserve">Pre-Check Account Assignment saat Create PR/PO</t>
  </si>
  <si>
    <t xml:space="preserve">Error 'Account assignment mandatory for material X' baru muncul saat user create PR, sehingga user gagal dan eskalasi ke IT.</t>
  </si>
  <si>
    <t xml:space="preserve">(a) Report 'Material Readiness Check' — daftar material yang belum lengkap account assignment/material group per plant, dijalankan rutin. (b) Opsional: enhancement di ME51N/ME21N untuk memberi pesan yang lebih jelas (arahkan ke IT dengan info material group yang benar).</t>
  </si>
  <si>
    <t xml:space="preserve">Report (R) + opsional Enhancement (E)</t>
  </si>
  <si>
    <t xml:space="preserve">ME51N, ME21N, MM02 | Baru: ZMM_MAT_READINESS</t>
  </si>
  <si>
    <t xml:space="preserve">MM, FI/CO</t>
  </si>
  <si>
    <t xml:space="preserve">Sprint 2</t>
  </si>
  <si>
    <t xml:space="preserve">IT SAP MM / Purchasing</t>
  </si>
  <si>
    <t xml:space="preserve">Mass Maintain Batch (SLED/BBD &amp; Classification)</t>
  </si>
  <si>
    <t xml:space="preserve">Perubahan Total Shelf Life di MM02 tidak mem-propagate ke batch existing; SLED/BBD dan No. Roll harus diupdate satu per satu di MSC2N oleh IT.</t>
  </si>
  <si>
    <t xml:space="preserve">Report Z: (a) tampilkan batch yang SLED-nya tidak sinkron dengan shelf life material master (MARA-MHDHB vs MCHA-VFDAT); (b) mass update SLED via BAPI_BATCH_CHANGE; (c) mass maintain characteristic batch (No. Roll) via upload Excel.</t>
  </si>
  <si>
    <t xml:space="preserve">Baru: ZMM_BATCH_MAINT | Existing: MSC2N, MM02</t>
  </si>
  <si>
    <t xml:space="preserve">MM, QM, PP</t>
  </si>
  <si>
    <t xml:space="preserve">IT SAP MM / QA</t>
  </si>
  <si>
    <t xml:space="preserve">HU &amp; Storage Location Readiness Check</t>
  </si>
  <si>
    <t xml:space="preserve">Kelompok case TERBESAR: HU gagal transfer/packing/unpack karena batch beda sloc, stock masih Blocked/Restricted, HU locked, atau belum PGI. Setiap kasus butuh 30–60 menit investigasi manual lintas ZBMBC/HUMO/HU03/VEKP/VEPO/VL02N.</t>
  </si>
  <si>
    <t xml:space="preserve">Report diagnostik satu layar: input HU / Delivery / Batch → tampilkan status lengkap (sloc per batch, stock type unrestricted/blocked/restricted, HU lock, status PGI, Packing Instruction terkait) + kolom DIAGNOSA yang menyebutkan penyebab &amp; langkah perbaikan. Diberikan ke user Logistic/Packing sebagai self-service.</t>
  </si>
  <si>
    <t xml:space="preserve">Report (R)</t>
  </si>
  <si>
    <t xml:space="preserve">Baru: ZMM_HU_CHECK | Existing: ZBMBC, HUMO, HU03, ZHU5SO, ZVLMOVE1</t>
  </si>
  <si>
    <t xml:space="preserve">MM, SD, PP</t>
  </si>
  <si>
    <t xml:space="preserve">PO / GRN Readiness &amp; Intercompany Mapping Checker</t>
  </si>
  <si>
    <t xml:space="preserve">Error 'PO Penuh', qty GRN ≠ PO, dan deficit material component subcont baru ketahuan saat GRN gagal. Mapping SO TTA – PO Trias – SO Trias sering tidak inline sejak awal.</t>
  </si>
  <si>
    <t xml:space="preserve">Report pre-GRN: input PO → tampilkan open quantity per item (EKPO/EKET vs EKBE), toleransi over/under delivery, status release, dan untuk PO subcont tampilkan ketersediaan stock component di vendor. Ditambah cek konsistensi item mapping intercompany SO–PO–SO.</t>
  </si>
  <si>
    <t xml:space="preserve">Baru: ZMM_PO_READINESS | Existing: ME23N, MIGO, ME2N</t>
  </si>
  <si>
    <t xml:space="preserve">MM, SD, FI/CO</t>
  </si>
  <si>
    <t xml:space="preserve">PO Risk-Flag Warning (Returns Item &amp; GR non-valuated)</t>
  </si>
  <si>
    <t xml:space="preserve">PO Sample dengan 'Returns Item' tercentang menghasilkan movement 161 (qty minus) saat GRN; PO Asset tanpa 'GR non-valuated' menghasilkan Amount in LC = 0. Keduanya tidak bisa diperbaiki setelah save — PO harus dibuat ulang.</t>
  </si>
  <si>
    <t xml:space="preserve">(a) Report harian PO yang terindikasi berisiko (returns item + PO type sample; GR non-valuated tidak sesuai PO type asset). (b) Opsional (perlu approval): enhancement warning message saat save PO via BAdI ME_PROCESS_PO_CUST.</t>
  </si>
  <si>
    <t xml:space="preserve">Report (R) + opsional Enhancement BAdI (E)</t>
  </si>
  <si>
    <t xml:space="preserve">ME21N/ME22N, EKPO-RETPO, EKPO-WEUNB | BAdI: ME_PROCESS_PO_CUST</t>
  </si>
  <si>
    <t xml:space="preserve">MM, FI/CO (Asset)</t>
  </si>
  <si>
    <t xml:space="preserve">Sprint 3</t>
  </si>
  <si>
    <t xml:space="preserve">Batch Tracing Report (End-to-End)</t>
  </si>
  <si>
    <t xml:space="preserve">Tracing batch (batch O → vendor batch → SO TTA → PO Trias → DO/Billing) dilakukan manual dengan export MSEG, MCH1, ZBMBC, COR3 ke Excel lalu VLOOKUP antar file. Salah satu penghabis waktu terbesar tim IT.</t>
  </si>
  <si>
    <t xml:space="preserve">Report ALV hierarki: input batch / material / PO → tampilkan seluruh rantai dokumen (batch, vendor batch, material document, PO, SO, DO, Billing, Process Order &amp; statusnya) dalam satu tree. Drill-down ke dokumen asli.</t>
  </si>
  <si>
    <t xml:space="preserve">Baru: ZMM_BATCH_TRACE | Existing: MCH1, MSEG, ZBMBC, COR3, MB51</t>
  </si>
  <si>
    <t xml:space="preserve">Vendor Master Completeness Check</t>
  </si>
  <si>
    <t xml:space="preserve">DO Subcon gagal ('Essential transfer parameters are missing') karena nomor Customer belum diisi di master vendor XK02 tab Control. Ketahuan hanya setelah transaksi gagal.</t>
  </si>
  <si>
    <t xml:space="preserve">Report validasi kelengkapan vendor: cek LFA1-KUNNR terisi untuk vendor subcont, blok purchasing/accounting (LFA1-SPERM/LFB1-SPERR), data purchasing organization (LFM1). Dijalankan rutin + saat onboarding vendor baru.</t>
  </si>
  <si>
    <t xml:space="preserve">Baru: ZMM_VENDOR_CHECK | Existing: XK01/XK02/XK03, MK03</t>
  </si>
  <si>
    <t xml:space="preserve">MM, SD, FI</t>
  </si>
  <si>
    <t xml:space="preserve">Condition Record ZS03 untuk PO Subcont Sparepart</t>
  </si>
  <si>
    <t xml:space="preserve">Purchasing harus input manual condition ZS03 di setiap PO Subcont Sparepart dan tidak bisa dalam bentuk persentase.</t>
  </si>
  <si>
    <t xml:space="preserve">Maintain master condition record ZS03 (MEK1) dengan calculation type percentage untuk kombinasi PO Subcont Sparepart, dan pastikan masuk calculation schema. CATATAN: ini pekerjaan CONFIG FUNGSIONAL, bukan ABAP — dimasukkan ke backlog agar tidak terlewat.</t>
  </si>
  <si>
    <t xml:space="preserve">Config Fungsional (bukan ABAP)</t>
  </si>
  <si>
    <t xml:space="preserve">MEK1/MEK2, M/06, M/08</t>
  </si>
  <si>
    <t xml:space="preserve">Quick Win</t>
  </si>
  <si>
    <t xml:space="preserve">PO Auto-Approval — Sprint 2 (lanjutan project berjalan)</t>
  </si>
  <si>
    <t xml:space="preserve">Sprint 1 (auto-approval PO &lt; USD 500) sudah selesai development &amp; menuju UAT. Sprint 2 belum dikerjakan: approval berjenjang sesuai threshold matrix, email notification, exception flagging.</t>
  </si>
  <si>
    <t xml:space="preserve">Lanjutkan sesuai blueprint yang sudah dikonfirmasi Purchasing: release strategy berjenjang berbasis threshold matrix, notifikasi email otomatis ke approver &amp; requester, flagging PO exception (split PO untuk menghindari threshold, vendor blocked, harga di luar toleransi PIR).</t>
  </si>
  <si>
    <t xml:space="preserve">Enhancement + Workflow + Config (E/C)</t>
  </si>
  <si>
    <t xml:space="preserve">ME29N, ME28, SPRO Release Procedure, SWDD</t>
  </si>
  <si>
    <t xml:space="preserve">IT SAP MM / Purchasing (Bu Lisa)</t>
  </si>
  <si>
    <t xml:space="preserve">Notifikasi Otomatis ke User saat Data Selesai Diperbaiki</t>
  </si>
  <si>
    <t xml:space="preserve">Setiap case selesai, IT harus membalas email manual dengan screenshot bukti perbaikan. Terjadi di hampir seluruh case (5–15 menit per case).</t>
  </si>
  <si>
    <t xml:space="preserve">Output/notification otomatis: saat report perbaikan (A01/A02/A05/A06) selesai dieksekusi, sistem mengirim email berisi ringkasan objek yang diperbaiki (batch/HU/pallet, before-after) ke requester + CC standar. Template disimpan di SO10/custom table.</t>
  </si>
  <si>
    <t xml:space="preserve">Enhancement + Form (E/F)</t>
  </si>
  <si>
    <t xml:space="preserve">SOST, SO10, BCS API (CL_BCS)</t>
  </si>
  <si>
    <t xml:space="preserve">MM (lintas)</t>
  </si>
  <si>
    <t xml:space="preserve">Config Change Compare Tool (T024 &amp; tabel config lain)</t>
  </si>
  <si>
    <t xml:space="preserve">Permintaan Purchasing Group baru butuh 3 hari: download T024 dari 4 server (DEV100, DEV130, QA320, PRD), compare before/after manual, plus dokumen CR &amp; Design Change Role.</t>
  </si>
  <si>
    <t xml:space="preserve">Utility report yang membaca tabel config (T024, T024E, T024W, T161, dll) lintas server via RFC dan menghasilkan report perbandingan Before/After otomatis + export Excel siap lampir CR. Sekaligus menampilkan role/authorization object terkait (AGR_USERS, AGR_1252).</t>
  </si>
  <si>
    <t xml:space="preserve">Report + RFC (R/I)</t>
  </si>
  <si>
    <t xml:space="preserve">Baru: ZBC_CONFIG_COMPARE | Existing: SE16N, SCC4, PFCG</t>
  </si>
  <si>
    <t xml:space="preserve">MM, Basis, Security</t>
  </si>
  <si>
    <t xml:space="preserve">IT SAP MM / Basis</t>
  </si>
  <si>
    <t xml:space="preserve">Deteksi Configuration Profile Locked</t>
  </si>
  <si>
    <t xml:space="preserve">Tim FICO gagal costing material karena checkbox variant/configurable tidak bisa dicentang — penyebabnya Configuration Profile masih berstatus Locked (CU42).</t>
  </si>
  <si>
    <t xml:space="preserve">Report daftar material configurable yang Configuration Profile-nya masih Locked, dijalankan sebelum periode costing. Opsional: mass release status via BAPI.</t>
  </si>
  <si>
    <t xml:space="preserve">Baru: ZMM_CFG_PROFILE | Existing: CU41/CU42, MM03</t>
  </si>
  <si>
    <t xml:space="preserve">MM, CO (Product Costing)</t>
  </si>
  <si>
    <t xml:space="preserve">IT SAP MM / FICO</t>
  </si>
  <si>
    <t xml:space="preserve">TOTAL ESTIMASI</t>
  </si>
  <si>
    <t xml:space="preserve">mandays (indikatif)</t>
  </si>
  <si>
    <t xml:space="preserve">Objective</t>
  </si>
  <si>
    <t xml:space="preserve">Trigger / Frekuensi Jalan</t>
  </si>
  <si>
    <t xml:space="preserve">Tabel &amp; Struktur Sumber</t>
  </si>
  <si>
    <t xml:space="preserve">Logic Garis Besar</t>
  </si>
  <si>
    <t xml:space="preserve">BAPI / FM Usulan</t>
  </si>
  <si>
    <t xml:space="preserve">Selection Screen</t>
  </si>
  <si>
    <t xml:space="preserve">Output</t>
  </si>
  <si>
    <t xml:space="preserve">Acceptance Criteria</t>
  </si>
  <si>
    <t xml:space="preserve">Memungkinkan user PPIC create batch massal dari dokumen SKEP tanpa bantuan IT/LSMW.</t>
  </si>
  <si>
    <t xml:space="preserve">On-demand, saat dokumen SKEP diterima (beberapa kali per minggu).</t>
  </si>
  <si>
    <t xml:space="preserve">MARA, MARC, MCH1, MCHA, MCHB, T001W</t>
  </si>
  <si>
    <t xml:space="preserve">1) Baca file upload (kolom: Material/Deskripsi, Batch ID, Plant, Sloc, Qty). 2) Jika hanya deskripsi, resolve ke material number via MAKT dengan konfirmasi user. 3) Validasi format kodefikasi RTP ID. 4) Cek batch belum ada di MCH1 &amp; nomor urut sebelumnya sudah ada. 5) Tampilkan preview ALV (OK/Error). 6) Create batch setelah user konfirmasi. 7) Log hasil.</t>
  </si>
  <si>
    <t xml:space="preserve">BAPI_BATCH_CREATE + BAPI_TRANSACTION_COMMIT</t>
  </si>
  <si>
    <t xml:space="preserve">File path, Plant, Sloc, Material Type, checkbox Test Run</t>
  </si>
  <si>
    <t xml:space="preserve">ALV hasil: Batch, Material, Plant, Status (Created/Skipped/Error), Message. Export Excel.</t>
  </si>
  <si>
    <t xml:space="preserve">Test Run tidak boleh membuat data. 100 batch ter-create &lt; 2 menit. Batch duplikat ditolak dengan pesan jelas. Wajib lolos test di QA sebelum PRD.</t>
  </si>
  <si>
    <t xml:space="preserve">Menjamin status RTP Pallet di ZPALLETR selalu konsisten dengan kondisi HU aktual.</t>
  </si>
  <si>
    <t xml:space="preserve">(a) Real-time pada saat pack/unpack. (b) Batch job harian untuk rekonsiliasi.</t>
  </si>
  <si>
    <t xml:space="preserve">ZPALLETR (custom), VEKP, VEPO, LIPS, MSEG, T001L</t>
  </si>
  <si>
    <t xml:space="preserve">1) Perbaiki logic update ZPALLETR di titik unpack sehingga status kembali FREE. 2) Report rekonsiliasi: bandingkan status di ZPALLETR dengan keberadaan pallet di HU aktif (VEKP/VEPO). 3) Tandai mismatch: status IN USE tapi HU sudah tidak ada, atau sebaliknya. 4) Sediakan tombol Fix (dengan otorisasi terbatas &amp; log). 5) Perbaiki mapping plant-sloc (sloc plant 1000 tidak boleh dibaca sebagai plant 2000).</t>
  </si>
  <si>
    <t xml:space="preserve">Update via update-task internal + BAL log (BAL_LOG_CREATE)</t>
  </si>
  <si>
    <t xml:space="preserve">Plant, Sloc, Pallet ID range, Tanggal, checkbox Auto-Fix</t>
  </si>
  <si>
    <t xml:space="preserve">ALV mismatch + log perbaikan. Email harian ke IT bila mismatch &gt; threshold.</t>
  </si>
  <si>
    <t xml:space="preserve">Setelah unpack, status pallet FREE dalam &lt; 1 menit tanpa intervensi. Job harian zero-mismatch selama 2 minggu berturut-turut. Semua auto-fix tercatat di application log.</t>
  </si>
  <si>
    <t xml:space="preserve">Mencegah master data material salah masuk ke SAP dengan memvalidasi template sebelum upload.</t>
  </si>
  <si>
    <t xml:space="preserve">On-demand, sebelum setiap eksekusi ZBC001 (harian/mingguan).</t>
  </si>
  <si>
    <t xml:space="preserve">MARA, MARC, MBEW, MVKE, T023, T134, T025, CEPC, TSPA | Custom: ZMM_MD_RULES</t>
  </si>
  <si>
    <t xml:space="preserve">1) Baca template Excel (multi-sheet: ZFGS, Classification, Proportion Unit, dst). 2) Validasi per baris terhadap rule matrix di tabel Z: Material Type ↔ Material Group ↔ Plant; Material Group ↔ Valuation Class; Material Group ↔ Profit Center; Class Number ↔ Material Group. 3) Rule khusus: Procurement Type F → Account Assignment Group HARUS kosong; Procurement Type E → boleh diisi. 4) Cek kelengkapan pasangan kolom (characteristic2 harus disertai plan value2 &amp; UoM2). 5) Cek Division &amp; Account Assignment Group untuk packaging jual (26 / 24). 6) Klasifikasi hasil: ERROR (blok) vs WARNING (lanjut dengan konfirmasi).</t>
  </si>
  <si>
    <t xml:space="preserve">Read-only + custom table maintenance (SM30 view untuk ZMM_MD_RULES)</t>
  </si>
  <si>
    <t xml:space="preserve">File path, Material Type, Plant, Company Code, checkbox Strict Mode</t>
  </si>
  <si>
    <t xml:space="preserve">ALV error/warning per baris &amp; per kolom + file Excel ter-highlight. Ringkasan jumlah error per kategori.</t>
  </si>
  <si>
    <t xml:space="preserve">Rule matrix bisa dimaintain fungsional lewat SM30 tanpa transport ABAP. Semua rule di dokumen 'Rule Material Master Data' terimplementasi. False positive &lt; 5%.</t>
  </si>
  <si>
    <t xml:space="preserve">Mendeteksi material yang belum siap dipakai di PR/PO sebelum user mengalami error.</t>
  </si>
  <si>
    <t xml:space="preserve">Batch job mingguan + on-demand saat material baru dibuat.</t>
  </si>
  <si>
    <t xml:space="preserve">MARA, MARC, MBEW, T134, T023, T163K</t>
  </si>
  <si>
    <t xml:space="preserve">1) Ambil material aktif per plant. 2) Cek kelengkapan: material group terisi &amp; valid untuk plant tsb, valuation class ada di MBEW, account assignment category default sesuai material type. 3) Simulasi ringan kebutuhan account assignment (material tanpa valuation → wajib account assignment). 4) Tandai material yang akan memicu error 'Account assignment mandatory'.</t>
  </si>
  <si>
    <t xml:space="preserve">Read-only (SELECT); opsional BAdI ME_PROCESS_REQ_CUST untuk pesan yang lebih informatif</t>
  </si>
  <si>
    <t xml:space="preserve">Plant, Material Type, Material Group, Material range, Created-on range</t>
  </si>
  <si>
    <t xml:space="preserve">ALV daftar material bermasalah + kolom rekomendasi perbaikan (material group yang seharusnya). Export Excel.</t>
  </si>
  <si>
    <t xml:space="preserve">Semua material yang dilaporkan memang gagal saat dicoba create PR di QA. Enhancement BAdI (jika dipakai) tidak boleh mengubah behavior standar selain menambah pesan.</t>
  </si>
  <si>
    <t xml:space="preserve">Menjaga sinkronisasi SLED/BBD batch dengan shelf life material master dan mempermudah maintain characteristic batch.</t>
  </si>
  <si>
    <t xml:space="preserve">On-demand setelah perubahan MM02 shelf life + batch job bulanan untuk deteksi mismatch.</t>
  </si>
  <si>
    <t xml:space="preserve">MARA (MHDHB, MHDRZ), MCHA (VFDAT, HSDAT), MCH1, MCHB, AUSP, KSSK</t>
  </si>
  <si>
    <t xml:space="preserve">1) Bandingkan VFDAT batch dengan HSDAT + MHDHB material master. 2) Tampilkan batch yang tidak sinkron beserta selisih hari. 3) Mass update SLED via BAPI. 4) Modul kedua: upload Excel untuk maintain characteristic batch (contoh No. Roll) secara massal. 5) Semua perubahan tercatat di change document.</t>
  </si>
  <si>
    <t xml:space="preserve">BAPI_BATCH_CHANGE, BAPI_OBJCL_CHANGE, BAPI_TRANSACTION_COMMIT</t>
  </si>
  <si>
    <t xml:space="preserve">Material, Plant, Batch range, Tanggal, checkbox Test Run, mode (SLED / Classification)</t>
  </si>
  <si>
    <t xml:space="preserve">ALV before-after (SLED lama vs baru) + status update. Export Excel sebagai lampiran balasan ke user.</t>
  </si>
  <si>
    <t xml:space="preserve">Test Run wajib. Batch yang sudah punya stock terjual/terkirim harus diberi warning terpisah. Perubahan terekam di CDHDR/CDPOS.</t>
  </si>
  <si>
    <t xml:space="preserve">Memberi user Logistic/Packing alat diagnosa mandiri untuk semua kegagalan HU, sloc, dan packing.</t>
  </si>
  <si>
    <t xml:space="preserve">On-demand, dipakai user setiap kali transaksi HU gagal (harian).</t>
  </si>
  <si>
    <t xml:space="preserve">VEKP, VEPO, LIKP, LIPS, MCHB, MARD, MSEG, MSKA, MKOL | terkait ZBMBC, ZHU4PI</t>
  </si>
  <si>
    <t xml:space="preserve">1) Input HU / Delivery / Batch / SO. 2) Kumpulkan: sloc setiap batch dalam HU, stock type (unrestricted / blocked / restricted / quality), HU status &amp; lock indicator, status PGI delivery terkait, Packing Instruction &amp; kesesuaian materialnya, nomor urut PI. 3) Jalankan rule diagnosa: (a) batch beda sloc dalam 1 HU; (b) stock blocked/restricted; (c) HU locked; (d) delivery belum PGI; (e) material PI tidak sesuai batch; (f) nomor PI mendekati 99; (g) sloc ganjil/genap tidak sesuai aturan gudang. 4) Tampilkan DIAGNOSA + LANGKAH PERBAIKAN dalam bahasa user, termasuk siapa yang harus bertindak (user vs IT).</t>
  </si>
  <si>
    <t xml:space="preserve">Read-only (SELECT). Opsional: link langsung ke VL02N / MSC2N / HU02.</t>
  </si>
  <si>
    <t xml:space="preserve">HU number, Delivery, Batch, Material, Plant, Sloc</t>
  </si>
  <si>
    <t xml:space="preserve">ALV dua panel: detail batch per HU + panel DIAGNOSA berisi penyebab &amp; langkah. Export Excel untuk lampiran email.</t>
  </si>
  <si>
    <t xml:space="preserve">Minimal 7 pola error di knowledge base terdeteksi benar. Waktu diagnosa turun dari 30–60 menit menjadi &lt; 5 menit. Report bersifat READ-ONLY — tidak boleh memindahkan stock (pemindahan tetap wewenang user).</t>
  </si>
  <si>
    <t xml:space="preserve">Mencegah kegagalan GRN dengan memeriksa kesiapan PO sebelum barang diterima.</t>
  </si>
  <si>
    <t xml:space="preserve">On-demand sebelum GRN + batch job harian untuk PO yang akan jatuh tempo delivery.</t>
  </si>
  <si>
    <t xml:space="preserve">EKKO, EKPO, EKET, EKBE, EKES, MSEG, MSLB (stock vendor subcont), VBAK/VBAP (mapping intercompany)</t>
  </si>
  <si>
    <t xml:space="preserve">1) Input PO. 2) Hitung open quantity per item = EKPO-MENGE - SUM(EKBE qty GR). 3) Tampilkan toleransi over/under delivery (EKPO-UEBTO/UNTTO) &amp; unlimited flag. 4) Cek status release (EKKO-FRGKE) dan deletion indicator (EKPO-LOEKZ). 5) Untuk PO subcont: tampilkan requirement komponen vs stock di vendor (MSLB) dan hitung deficit. 6) Untuk intercompany: cek keselarasan nomor item SO TTA – PO Trias – SO Trias, tandai jika tidak inline. 7) Beri status SIAP GRN / TIDAK SIAP + alasan.</t>
  </si>
  <si>
    <t xml:space="preserve">Read-only. Opsional BAPI_PO_GETDETAIL untuk konsistensi.</t>
  </si>
  <si>
    <t xml:space="preserve">PO number range, Vendor, Plant, Delivery date range, checkbox 'hanya yang bermasalah'</t>
  </si>
  <si>
    <t xml:space="preserve">ALV status kesiapan per PO-item + kolom alasan. Export Excel.</t>
  </si>
  <si>
    <t xml:space="preserve">Deficit komponen subcont terhitung sama dengan hasil hitung manual dari matdoc. Semua PO yang ditandai 'TIDAK SIAP' memang gagal saat dicoba GRN di QA.</t>
  </si>
  <si>
    <t xml:space="preserve">Mencegah PO dibuat dengan setting yang tidak bisa diperbaiki setelah save.</t>
  </si>
  <si>
    <t xml:space="preserve">Batch job harian (report) + real-time saat save PO (jika enhancement disetujui).</t>
  </si>
  <si>
    <t xml:space="preserve">EKKO, EKPO (RETPO, WEUNB, KNTTP, PSTYP), T161</t>
  </si>
  <si>
    <t xml:space="preserve">1) Report: scan PO yang dibuat hari ini/periode tertentu. 2) Rule A: PO type sample dengan EKPO-RETPO = X → flag (akan memicu movement 161 / qty minus). 3) Rule B: PO Asset (KNTTP = A) dengan EKPO-WEUNB tidak sesuai kebijakan → flag (Amount in LC akan 0). 4) Kirim daftar ke Purchasing untuk dikoreksi selagi PO belum di-GRN. 5) OPSIONAL (perlu approval manajemen): BAdI ME_PROCESS_PO_CUST method CHECK untuk memunculkan warning saat save.</t>
  </si>
  <si>
    <t xml:space="preserve">Read-only. Opsional BAdI ME_PROCESS_PO_CUST (IF_EX_ME_PROCESS_PO_CUST~CHECK).</t>
  </si>
  <si>
    <t xml:space="preserve">PO date range, PO Document Type, Plant, Purchasing Group</t>
  </si>
  <si>
    <t xml:space="preserve">ALV daftar PO berisiko + jenis risiko + apakah sudah di-GRN.</t>
  </si>
  <si>
    <t xml:space="preserve">Zero false positive pada PO normal. Jika BAdI dipakai: hanya WARNING (tipe W), tidak boleh memblok save, dan wajib melalui UAT Purchasing.</t>
  </si>
  <si>
    <t xml:space="preserve">Menghilangkan tracing batch manual berbasis export Excel dan VLOOKUP antar file.</t>
  </si>
  <si>
    <t xml:space="preserve">On-demand, dipakai IT &amp; user setiap ada permintaan tracing/retur/komplain (harian).</t>
  </si>
  <si>
    <t xml:space="preserve">MCH1 (CHARG, LICHA vendor batch), MCHA, MSEG, MKPF, EKKO/EKPO, VBAK/VBAP, LIKP/LIPS, VBRK/VBRP, AUFK/AFKO (process order), VEKP/VEPO</t>
  </si>
  <si>
    <t xml:space="preserve">1) Input batch / material / PO / SO / HU. 2) Bangun rantai: Batch → Vendor Batch (MCH1-LICHA) → Material Document (MSEG) → PO (EKKO/EKPO) → SO (VBAK/VBAP) → Delivery (LIKP/LIPS) → Billing (VBRK/VBRP) → Process Order + status TECO/CLSD. 3) Tampilkan sebagai ALV Tree hierarki. 4) Sediakan drill-down ke dokumen asli (double-click → ME23N/VA03/VL03N/COR3). 5) Export flat ke Excel.</t>
  </si>
  <si>
    <t xml:space="preserve">Read-only (SELECT + ALV Tree / CL_SALV_HIERSEQ_TABLE)</t>
  </si>
  <si>
    <t xml:space="preserve">Batch, Vendor Batch, Material, Plant, PO, SO, HU, Posting date range</t>
  </si>
  <si>
    <t xml:space="preserve">ALV Tree rantai dokumen + export Excel flat.</t>
  </si>
  <si>
    <t xml:space="preserve">Hasil tracing identik dengan hasil manual pada 5 case sampel dari knowledge base. Waktu tracing turun dari 30+ menit menjadi &lt; 3 menit. Performance: response &lt; 10 detik untuk 1 batch.</t>
  </si>
  <si>
    <t xml:space="preserve">Memastikan master vendor lengkap sebelum dipakai di proses subcontracting &amp; procurement.</t>
  </si>
  <si>
    <t xml:space="preserve">Batch job mingguan + on-demand saat vendor baru dibuat/diubah.</t>
  </si>
  <si>
    <t xml:space="preserve">LFA1 (KUNNR, SPERM, SPERR, LOEVM), LFB1, LFM1, KNA1, T001W</t>
  </si>
  <si>
    <t xml:space="preserve">1) Ambil vendor aktif. 2) Rule A: vendor yang dipakai di PO subcont (EKKO dengan item category L) wajib punya LFA1-KUNNR terisi dan customer-nya ada di KNA1. 3) Rule B: cek blok purchasing (LFA1-SPERM), blok accounting (LFB1-SPERR), deletion flag (LFA1-LOEVM). 4) Rule C: cek kelengkapan LFM1 per purchasing org. 5) Tandai vendor yang akan memicu error 'Essential transfer parameters are missing'.</t>
  </si>
  <si>
    <t xml:space="preserve">Read-only. Opsional BAPI_VENDOR_GETDETAIL.</t>
  </si>
  <si>
    <t xml:space="preserve">Vendor range, Purchasing Org, Company Code, Account Group, checkbox 'hanya subcont'</t>
  </si>
  <si>
    <t xml:space="preserve">ALV vendor bermasalah + jenis ketidaklengkapan + rekomendasi field yang harus diisi.</t>
  </si>
  <si>
    <t xml:space="preserve">Vendor yang menyebabkan error DO Subcon historis terdeteksi oleh report. Report tidak melaporkan vendor yang sudah lengkap.</t>
  </si>
  <si>
    <t xml:space="preserve">Menghilangkan input manual condition ZS03 pada PO Subcont Sparepart.</t>
  </si>
  <si>
    <t xml:space="preserve">One-time config + maintain condition record berkala.</t>
  </si>
  <si>
    <t xml:space="preserve">KONP, KONH, A0xx (access sequence table), T685</t>
  </si>
  <si>
    <t xml:space="preserve">CATATAN: ini pekerjaan CONFIG FUNGSIONAL, bukan development ABAP. 1) Cek calculation schema PO Subcont Sparepart di M/08. 2) Pastikan condition type ZS03 (M/06) bertipe percentage (Calculation type A). 3) Maintain condition record via MEK1 untuk kombinasi Purchasing Org / Vendor / Material Group yang relevan. 4) Uji di QA: buat PO Subcont Sparepart, pastikan ZS03 terisi otomatis 5%.</t>
  </si>
  <si>
    <t xml:space="preserve">Tidak ada (config). Verifikasi via ME23N.</t>
  </si>
  <si>
    <t xml:space="preserve">N/A</t>
  </si>
  <si>
    <t xml:space="preserve">Condition ZS03 muncul otomatis pada PO Subcont Sparepart.</t>
  </si>
  <si>
    <t xml:space="preserve">Purchasing tidak lagi input ZS03 manual. Nilai kondisi benar dalam bentuk %. Tidak mengganggu PO type lain.</t>
  </si>
  <si>
    <t xml:space="preserve">Menyelesaikan Sprint 2 project PO Auto-Approval: approval berjenjang, notifikasi, dan exception flagging.</t>
  </si>
  <si>
    <t xml:space="preserve">Real-time pada saat PO dibuat/diubah.</t>
  </si>
  <si>
    <t xml:space="preserve">EKKO, T16FS/T16FC/T16FG (release strategy), CDHDR/CDPOS, custom Z untuk threshold matrix</t>
  </si>
  <si>
    <t xml:space="preserve">1) Definisikan threshold matrix (nilai PO → level approver) di custom table Z agar bisa diubah fungsional. 2) Konfigurasi release strategy berjenjang di SPRO (Materials Management → Purchasing → Purchase Order → Release Procedure). 3) Notifikasi email otomatis ke approver saat PO masuk antrian &amp; ke requester saat di-release/di-reject. 4) Exception flagging: deteksi split PO (beberapa PO ke vendor &amp; material sama dalam rentang waktu pendek yang totalnya melewati threshold), vendor blocked, harga menyimpang dari Purchasing Info Record. 5) Audit trail lengkap.</t>
  </si>
  <si>
    <t xml:space="preserve">BAPI_PO_GETDETAIL, CL_BCS (email), BAdI ME_PROCESS_PO_CUST atau workflow SWDD</t>
  </si>
  <si>
    <t xml:space="preserve">N/A (real-time) + report monitoring: PO date range, Purchasing Group, Release status</t>
  </si>
  <si>
    <t xml:space="preserve">Notifikasi email + report monitoring status approval &amp; daftar PO exception.</t>
  </si>
  <si>
    <t xml:space="preserve">Sesuai blueprint yang sudah dikonfirmasi Purchasing (email 23 Juli 2026). Auto-approval Sprint 1 tetap berjalan tanpa regresi. Wajib UAT Purchasing sebelum go-live. Audit trail dapat ditelusuri untuk keperluan audit.</t>
  </si>
  <si>
    <t xml:space="preserve">Mengotomatiskan konfirmasi ke user saat IT selesai memperbaiki data.</t>
  </si>
  <si>
    <t xml:space="preserve">Otomatis setelah eksekusi report perbaikan (A01, A02, A05, A06) selesai.</t>
  </si>
  <si>
    <t xml:space="preserve">SOOD/SOST, SO10 (text template), custom log table Z, USR21/ADR6 (email address)</t>
  </si>
  <si>
    <t xml:space="preserve">1) Setiap report perbaikan menuliskan hasil ke custom log table (objek, before, after, user requester). 2) Modul notifikasi membaca log, merender template SO10, melampirkan hasil dalam Excel/PDF. 3) Kirim via CL_BCS ke requester + CC list standar per kategori (disimpan di custom table agar bisa dimaintain fungsional). 4) Status kirim tercatat &amp; bisa di-resend.</t>
  </si>
  <si>
    <t xml:space="preserve">CL_BCS (CREATE_PERSISTENT, ADD_RECIPIENT, SEND), SO_NEW_DOCUMENT_ATT_SEND_API1</t>
  </si>
  <si>
    <t xml:space="preserve">Log ID / tanggal / kategori, checkbox Preview sebelum kirim</t>
  </si>
  <si>
    <t xml:space="preserve">Email otomatis + ALV log pengiriman.</t>
  </si>
  <si>
    <t xml:space="preserve">Email terkirim &lt; 2 menit setelah eksekusi. Isi email menampilkan before-after yang benar. Ada mode Preview sebelum kirim. Daftar CC bisa diubah tanpa transport.</t>
  </si>
  <si>
    <t xml:space="preserve">Mempercepat proses change request config dari 3 hari menjadi &lt; 1 hari.</t>
  </si>
  <si>
    <t xml:space="preserve">On-demand, setiap ada permintaan config (Purchasing Group, Doc Type, dll).</t>
  </si>
  <si>
    <t xml:space="preserve">T024, T024E, T024W, T161, T163, AGR_USERS, AGR_1252, AGR_DEFINE</t>
  </si>
  <si>
    <t xml:space="preserve">1) Baca tabel config target dari beberapa server via RFC destination (DEV100, DEV130, QA320, PRD). 2) Simpan snapshot BEFORE. 3) Setelah config diubah, ambil snapshot AFTER. 4) Generate report perbandingan (baris baru / berubah / terhapus) per server. 5) Tampilkan juga role &amp; authorization object terkait dari AGR_1252 untuk mendukung Design Change Role. 6) Export Excel siap lampir dokumen CR.</t>
  </si>
  <si>
    <t xml:space="preserve">RFC_READ_TABLE (atau custom RFC-enabled FM untuk tabel lebar), BAL log</t>
  </si>
  <si>
    <t xml:space="preserve">Nama tabel, daftar RFC destination, Snapshot ID, mode (Capture Before / Capture After / Compare)</t>
  </si>
  <si>
    <t xml:space="preserve">ALV perbandingan Before-After per server + export Excel format lampiran CR.</t>
  </si>
  <si>
    <t xml:space="preserve">Hasil compare identik dengan hasil compare manual. Mendukung minimal T024, T024E, T024W, T161. Akses RFC ke PRD bersifat READ-ONLY. Koordinasi dengan tim Basis untuk RFC destination &amp; otorisasi.</t>
  </si>
  <si>
    <t xml:space="preserve">Mendeteksi lebih awal material configurable yang Configuration Profile-nya masih Locked.</t>
  </si>
  <si>
    <t xml:space="preserve">Batch job sebelum periode costing (bulanan) + on-demand.</t>
  </si>
  <si>
    <t xml:space="preserve">MARA (KZKFG), CUCO (configuration profile), IBIN/CUOB, KSSK/KLAH</t>
  </si>
  <si>
    <t xml:space="preserve">1) Ambil material configurable (MARA-KZKFG = 1). 2) Baca status Configuration Profile dari tabel CUCO. 3) Tandai yang berstatus Locked. 4) Opsional: mass release status ke Released setelah konfirmasi (dengan otorisasi terbatas).</t>
  </si>
  <si>
    <t xml:space="preserve">Read-only. Opsional: BAPI/FM release configuration profile (verifikasi ketersediaan di EHP6 sebelum dipakai).</t>
  </si>
  <si>
    <t xml:space="preserve">Material range, Material Type, Plant, checkbox 'hanya yang Locked'</t>
  </si>
  <si>
    <t xml:space="preserve">ALV daftar material + status profile + tanggal terakhir diubah.</t>
  </si>
  <si>
    <t xml:space="preserve">Semua material yang menyebabkan gagal costing historis terdeteksi. Fitur mass release (jika dibuat) wajib punya Test Run dan log.</t>
  </si>
  <si>
    <t xml:space="preserve">PRIORITY MATRIX — Score = (Frekuensi x Dampak) / Effort</t>
  </si>
  <si>
    <t xml:space="preserve">Skala 1-5. Frekuensi: seberapa sering case muncul. Dampak: gangguan ke operasional &amp; waktu yang hilang. Effort: beban development ABAP (5 = paling berat). Semakin tinggi Score, semakin prioritas.</t>
  </si>
  <si>
    <t xml:space="preserve">CATATAN: skor di bawah adalah ESTIMASI KONSULTAN berbasis knowledge base &amp; email, BUKAN data ticket terstruktur. Mohon dikalibrasi bersama tim IT Helpdesk.</t>
  </si>
  <si>
    <t xml:space="preserve">PENTING: Score memberi bobot pada efisiensi effort, sehingga Quick Win otomatis naik ke atas. Urutan Sprint di sheet Automation Backlog memakai pertimbangan URGENSI BISNIS (dampak ke operasional harian), sehingga kedua urutan tidak selalu sama. Gunakan Score sebagai bahan diskusi, bukan keputusan final.</t>
  </si>
  <si>
    <t xml:space="preserve">Frekuensi (1-5)</t>
  </si>
  <si>
    <t xml:space="preserve">Dampak (1-5)</t>
  </si>
  <si>
    <t xml:space="preserve">Effort (1-5)</t>
  </si>
  <si>
    <t xml:space="preserve">Score</t>
  </si>
  <si>
    <t xml:space="preserve">Ranking</t>
  </si>
  <si>
    <t xml:space="preserve">Catatan / Justifikasi</t>
  </si>
  <si>
    <t xml:space="preserve">Kelompok case terbesar. Menghapus 30-60 menit investigasi manual per kejadian.</t>
  </si>
  <si>
    <t xml:space="preserve">Root cause bug jelas &amp; terlokalisasi. Perbaikan sekali, manfaat permanen.</t>
  </si>
  <si>
    <t xml:space="preserve">Penghemat waktu terbesar per kejadian. Berdampak lintas MM/SD/PP.</t>
  </si>
  <si>
    <t xml:space="preserve">Memindahkan pekerjaan dari IT ke user (self-service). ROI cepat.</t>
  </si>
  <si>
    <t xml:space="preserve">Preventif — mencegah case master data muncul sejak awal.</t>
  </si>
  <si>
    <t xml:space="preserve">Preventif untuk kegagalan GRN &amp; deficit subcont.</t>
  </si>
  <si>
    <t xml:space="preserve">PO Auto-Approval — Sprint 2</t>
  </si>
  <si>
    <t xml:space="preserve">Project berjalan — lanjutkan sesuai roadmap Sprint 2 yang sudah disepakati.</t>
  </si>
  <si>
    <t xml:space="preserve">Menutup celah propagasi shelf life ke batch existing.</t>
  </si>
  <si>
    <t xml:space="preserve">Condition Record ZS03 PO Subcont Sparepart</t>
  </si>
  <si>
    <t xml:space="preserve">QUICK WIN — config fungsional, effort minimal, bisa dikerjakan paralel.</t>
  </si>
  <si>
    <t xml:space="preserve">QUICK WIN — report sederhana, mencegah gagal costing.</t>
  </si>
  <si>
    <t xml:space="preserve">Preventif untuk DO Subcon.</t>
  </si>
  <si>
    <t xml:space="preserve">Melengkapi A03 dari sisi transaksi.</t>
  </si>
  <si>
    <t xml:space="preserve">Notifikasi Otomatis ke User</t>
  </si>
  <si>
    <t xml:space="preserve">Dikerjakan setelah A01/A02/A05/A06 jadi (bergantung log dari report tsb).</t>
  </si>
  <si>
    <t xml:space="preserve">PO Risk-Flag Warning</t>
  </si>
  <si>
    <t xml:space="preserve">Frekuensi lebih rendah, tapi dampak finansial nyata (asset &amp; valuasi).</t>
  </si>
  <si>
    <t xml:space="preserve">Config Change Compare Tool (T024 dll)</t>
  </si>
  <si>
    <t xml:space="preserve">Efisiensi internal IT, bukan gangguan operasional user. Perlu koordinasi Basis.</t>
  </si>
  <si>
    <t xml:space="preserve">LEGENDA SKALA</t>
  </si>
  <si>
    <t xml:space="preserve">Frekuensi</t>
  </si>
  <si>
    <t xml:space="preserve">5 = Sangat Sering (mingguan/harian) · 4 = Sering (beberapa kali/bulan) · 3 = Rutin · 2 = Kadang (beberapa kali/tahun) · 1 = Jarang</t>
  </si>
  <si>
    <t xml:space="preserve">Dampak</t>
  </si>
  <si>
    <t xml:space="preserve">5 = Menghentikan operasional (packing/pengiriman berhenti) · 4 = Menunda proses &amp; butuh eskalasi · 3 = Menghabiskan waktu IT · 2 = Merepotkan · 1 = Minor</t>
  </si>
  <si>
    <t xml:space="preserve">Effort</t>
  </si>
  <si>
    <t xml:space="preserve">5 = &gt; 12 mandays / menyentuh core transaction · 4 = 8-12 mandays · 3 = 5-8 mandays · 2 = 3-5 mandays · 1 = &lt; 3 mandays / config saja</t>
  </si>
  <si>
    <t xml:space="preserve">Warna Sprint</t>
  </si>
  <si>
    <t xml:space="preserve">Merah = Sprint 1 (prioritas tertinggi) · Kuning = Sprint 2 · Biru = Sprint 3 · Hijau = Quick Win (bisa paralel)</t>
  </si>
</sst>
</file>

<file path=xl/styles.xml><?xml version="1.0" encoding="utf-8"?>
<styleSheet xmlns="http://schemas.openxmlformats.org/spreadsheetml/2006/main">
  <numFmts count="3">
    <numFmt numFmtId="164" formatCode="General"/>
    <numFmt numFmtId="165" formatCode="0"/>
    <numFmt numFmtId="166" formatCode="0.00"/>
  </numFmts>
  <fonts count="15">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sz val="10"/>
      <name val="Arial"/>
      <family val="0"/>
      <charset val="1"/>
    </font>
    <font>
      <b val="true"/>
      <sz val="10"/>
      <name val="Arial"/>
      <family val="0"/>
      <charset val="1"/>
    </font>
    <font>
      <b val="true"/>
      <sz val="10"/>
      <color rgb="FFFFFFFF"/>
      <name val="Arial"/>
      <family val="0"/>
      <charset val="1"/>
    </font>
    <font>
      <b val="true"/>
      <sz val="10"/>
      <color rgb="FFC00000"/>
      <name val="Arial"/>
      <family val="0"/>
      <charset val="1"/>
    </font>
    <font>
      <b val="true"/>
      <sz val="11"/>
      <color rgb="FFC00000"/>
      <name val="Arial"/>
      <family val="0"/>
      <charset val="1"/>
    </font>
    <font>
      <b val="true"/>
      <sz val="11"/>
      <name val="Arial"/>
      <family val="0"/>
      <charset val="1"/>
    </font>
    <font>
      <i val="true"/>
      <sz val="9"/>
      <name val="Arial"/>
      <family val="0"/>
      <charset val="1"/>
    </font>
    <font>
      <b val="true"/>
      <sz val="13"/>
      <color rgb="FF1F3864"/>
      <name val="Arial"/>
      <family val="0"/>
      <charset val="1"/>
    </font>
    <font>
      <b val="true"/>
      <i val="true"/>
      <sz val="9"/>
      <color rgb="FFC00000"/>
      <name val="Arial"/>
      <family val="0"/>
      <charset val="1"/>
    </font>
    <font>
      <b val="true"/>
      <sz val="11"/>
      <color rgb="FF1F3864"/>
      <name val="Arial"/>
      <family val="0"/>
      <charset val="1"/>
    </font>
  </fonts>
  <fills count="7">
    <fill>
      <patternFill patternType="none"/>
    </fill>
    <fill>
      <patternFill patternType="gray125"/>
    </fill>
    <fill>
      <patternFill patternType="solid">
        <fgColor rgb="FFD9E2F3"/>
        <bgColor rgb="FFE2EFDA"/>
      </patternFill>
    </fill>
    <fill>
      <patternFill patternType="solid">
        <fgColor rgb="FF1F3864"/>
        <bgColor rgb="FF333333"/>
      </patternFill>
    </fill>
    <fill>
      <patternFill patternType="solid">
        <fgColor rgb="FFFCE4EC"/>
        <bgColor rgb="FFFFF2CC"/>
      </patternFill>
    </fill>
    <fill>
      <patternFill patternType="solid">
        <fgColor rgb="FFFFF2CC"/>
        <bgColor rgb="FFFCE4EC"/>
      </patternFill>
    </fill>
    <fill>
      <patternFill patternType="solid">
        <fgColor rgb="FFE2EFDA"/>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5" fillId="2"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6" fontId="10" fillId="5"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C"/>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000000"/>
          <bgColor rgb="FF000000"/>
        </patternFill>
      </fill>
    </dxf>
    <dxf>
      <fill>
        <patternFill patternType="solid">
          <fgColor rgb="FFD9E2F3"/>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10"/>
  </cols>
  <sheetData>
    <row r="1" customFormat="false" ht="18" hidden="false" customHeight="true" outlineLevel="0" collapsed="false">
      <c r="A1" s="2" t="s">
        <v>0</v>
      </c>
      <c r="B1" s="2"/>
    </row>
    <row r="3" customFormat="false" ht="15" hidden="false" customHeight="true" outlineLevel="0" collapsed="false">
      <c r="A3" s="3" t="s">
        <v>1</v>
      </c>
      <c r="B3" s="3" t="s">
        <v>2</v>
      </c>
    </row>
    <row r="4" customFormat="false" ht="15" hidden="false" customHeight="true" outlineLevel="0" collapsed="false">
      <c r="A4" s="3" t="s">
        <v>3</v>
      </c>
      <c r="B4" s="3" t="s">
        <v>4</v>
      </c>
    </row>
    <row r="5" customFormat="false" ht="15" hidden="false" customHeight="true" outlineLevel="0" collapsed="false">
      <c r="A5" s="3" t="s">
        <v>5</v>
      </c>
      <c r="B5" s="3" t="s">
        <v>6</v>
      </c>
    </row>
    <row r="6" customFormat="false" ht="15" hidden="false" customHeight="true" outlineLevel="0" collapsed="false">
      <c r="A6" s="3" t="s">
        <v>7</v>
      </c>
      <c r="B6" s="3" t="s">
        <v>8</v>
      </c>
    </row>
    <row r="7" customFormat="false" ht="23.25" hidden="false" customHeight="true" outlineLevel="0" collapsed="false">
      <c r="A7" s="3" t="s">
        <v>9</v>
      </c>
      <c r="B7" s="3" t="s">
        <v>10</v>
      </c>
    </row>
    <row r="8" customFormat="false" ht="15" hidden="false" customHeight="true" outlineLevel="0" collapsed="false">
      <c r="A8" s="4"/>
      <c r="B8" s="3"/>
    </row>
    <row r="9" customFormat="false" ht="15" hidden="false" customHeight="true" outlineLevel="0" collapsed="false">
      <c r="A9" s="5" t="s">
        <v>11</v>
      </c>
      <c r="B9" s="6"/>
    </row>
    <row r="10" customFormat="false" ht="15" hidden="false" customHeight="true" outlineLevel="0" collapsed="false">
      <c r="A10" s="3" t="s">
        <v>12</v>
      </c>
      <c r="B10" s="3" t="s">
        <v>13</v>
      </c>
    </row>
    <row r="11" customFormat="false" ht="23.25" hidden="false" customHeight="true" outlineLevel="0" collapsed="false">
      <c r="A11" s="3" t="s">
        <v>14</v>
      </c>
      <c r="B11" s="3" t="s">
        <v>15</v>
      </c>
    </row>
    <row r="12" customFormat="false" ht="23.25" hidden="false" customHeight="true" outlineLevel="0" collapsed="false">
      <c r="A12" s="3" t="s">
        <v>16</v>
      </c>
      <c r="B12" s="3" t="s">
        <v>17</v>
      </c>
    </row>
    <row r="13" customFormat="false" ht="15" hidden="false" customHeight="true" outlineLevel="0" collapsed="false">
      <c r="A13" s="4"/>
      <c r="B13" s="3"/>
    </row>
    <row r="14" customFormat="false" ht="15" hidden="false" customHeight="true" outlineLevel="0" collapsed="false">
      <c r="A14" s="5" t="s">
        <v>18</v>
      </c>
      <c r="B14" s="6"/>
    </row>
    <row r="15" customFormat="false" ht="15" hidden="false" customHeight="true" outlineLevel="0" collapsed="false">
      <c r="A15" s="3" t="s">
        <v>19</v>
      </c>
      <c r="B15" s="3" t="s">
        <v>20</v>
      </c>
    </row>
    <row r="16" customFormat="false" ht="15" hidden="false" customHeight="true" outlineLevel="0" collapsed="false">
      <c r="A16" s="3" t="s">
        <v>21</v>
      </c>
      <c r="B16" s="3" t="s">
        <v>22</v>
      </c>
    </row>
    <row r="17" customFormat="false" ht="15" hidden="false" customHeight="true" outlineLevel="0" collapsed="false">
      <c r="A17" s="3" t="s">
        <v>23</v>
      </c>
      <c r="B17" s="3" t="s">
        <v>24</v>
      </c>
    </row>
    <row r="18" customFormat="false" ht="15" hidden="false" customHeight="true" outlineLevel="0" collapsed="false">
      <c r="A18" s="3" t="s">
        <v>25</v>
      </c>
      <c r="B18" s="3" t="s">
        <v>26</v>
      </c>
    </row>
    <row r="19" customFormat="false" ht="15" hidden="false" customHeight="true" outlineLevel="0" collapsed="false">
      <c r="A19" s="4"/>
      <c r="B19" s="3"/>
    </row>
    <row r="20" customFormat="false" ht="15" hidden="false" customHeight="true" outlineLevel="0" collapsed="false">
      <c r="A20" s="5" t="s">
        <v>27</v>
      </c>
      <c r="B20" s="6"/>
    </row>
    <row r="21" customFormat="false" ht="23.25" hidden="false" customHeight="true" outlineLevel="0" collapsed="false">
      <c r="A21" s="3" t="s">
        <v>28</v>
      </c>
      <c r="B21" s="3" t="s">
        <v>29</v>
      </c>
    </row>
    <row r="22" customFormat="false" ht="15" hidden="false" customHeight="true" outlineLevel="0" collapsed="false">
      <c r="A22" s="3" t="s">
        <v>30</v>
      </c>
      <c r="B22" s="3" t="s">
        <v>31</v>
      </c>
    </row>
    <row r="23" customFormat="false" ht="23.25" hidden="false" customHeight="true" outlineLevel="0" collapsed="false">
      <c r="A23" s="3" t="s">
        <v>32</v>
      </c>
      <c r="B23" s="3" t="s">
        <v>33</v>
      </c>
    </row>
    <row r="24" customFormat="false" ht="15" hidden="false" customHeight="true" outlineLevel="0" collapsed="false">
      <c r="A24" s="3" t="s">
        <v>34</v>
      </c>
      <c r="B24" s="3" t="s">
        <v>35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46"/>
    <col collapsed="false" customWidth="true" hidden="false" outlineLevel="0" max="4" min="4" style="1" width="40"/>
    <col collapsed="false" customWidth="true" hidden="false" outlineLevel="0" max="5" min="5" style="1" width="44"/>
    <col collapsed="false" customWidth="true" hidden="false" outlineLevel="0" max="6" min="6" style="1" width="16"/>
    <col collapsed="false" customWidth="true" hidden="false" outlineLevel="0" max="7" min="7" style="1" width="12"/>
    <col collapsed="false" customWidth="true" hidden="false" outlineLevel="0" max="8" min="8" style="1" width="30"/>
    <col collapsed="false" customWidth="true" hidden="false" outlineLevel="0" max="9" min="9" style="1" width="13"/>
  </cols>
  <sheetData>
    <row r="1" customFormat="false" ht="33.75" hidden="false" customHeight="true" outlineLevel="0" collapsed="false">
      <c r="A1" s="7" t="s">
        <v>36</v>
      </c>
      <c r="B1" s="7" t="s">
        <v>37</v>
      </c>
      <c r="C1" s="7" t="s">
        <v>38</v>
      </c>
      <c r="D1" s="7" t="s">
        <v>39</v>
      </c>
      <c r="E1" s="7" t="s">
        <v>40</v>
      </c>
      <c r="F1" s="7" t="s">
        <v>41</v>
      </c>
      <c r="G1" s="7" t="s">
        <v>42</v>
      </c>
      <c r="H1" s="7" t="s">
        <v>43</v>
      </c>
      <c r="I1" s="7" t="s">
        <v>44</v>
      </c>
    </row>
    <row r="2" customFormat="false" ht="61.5" hidden="false" customHeight="true" outlineLevel="0" collapsed="false">
      <c r="A2" s="8" t="n">
        <v>1</v>
      </c>
      <c r="B2" s="9" t="s">
        <v>45</v>
      </c>
      <c r="C2" s="9" t="s">
        <v>46</v>
      </c>
      <c r="D2" s="9" t="s">
        <v>47</v>
      </c>
      <c r="E2" s="9" t="s">
        <v>48</v>
      </c>
      <c r="F2" s="10" t="s">
        <v>49</v>
      </c>
      <c r="G2" s="11" t="s">
        <v>50</v>
      </c>
      <c r="H2" s="9" t="s">
        <v>51</v>
      </c>
      <c r="I2" s="12" t="s">
        <v>52</v>
      </c>
    </row>
    <row r="3" customFormat="false" ht="61.5" hidden="false" customHeight="true" outlineLevel="0" collapsed="false">
      <c r="A3" s="8" t="n">
        <v>2</v>
      </c>
      <c r="B3" s="9" t="s">
        <v>45</v>
      </c>
      <c r="C3" s="9" t="s">
        <v>53</v>
      </c>
      <c r="D3" s="9" t="s">
        <v>54</v>
      </c>
      <c r="E3" s="9" t="s">
        <v>55</v>
      </c>
      <c r="F3" s="10" t="s">
        <v>49</v>
      </c>
      <c r="G3" s="13" t="s">
        <v>56</v>
      </c>
      <c r="H3" s="9" t="s">
        <v>57</v>
      </c>
      <c r="I3" s="12" t="s">
        <v>52</v>
      </c>
    </row>
    <row r="4" customFormat="false" ht="61.5" hidden="false" customHeight="true" outlineLevel="0" collapsed="false">
      <c r="A4" s="8" t="n">
        <v>3</v>
      </c>
      <c r="B4" s="9" t="s">
        <v>45</v>
      </c>
      <c r="C4" s="9" t="s">
        <v>58</v>
      </c>
      <c r="D4" s="9" t="s">
        <v>59</v>
      </c>
      <c r="E4" s="9" t="s">
        <v>60</v>
      </c>
      <c r="F4" s="10" t="s">
        <v>61</v>
      </c>
      <c r="G4" s="11" t="s">
        <v>50</v>
      </c>
      <c r="H4" s="9" t="s">
        <v>62</v>
      </c>
      <c r="I4" s="12" t="s">
        <v>52</v>
      </c>
    </row>
    <row r="5" customFormat="false" ht="61.5" hidden="false" customHeight="true" outlineLevel="0" collapsed="false">
      <c r="A5" s="8" t="n">
        <v>4</v>
      </c>
      <c r="B5" s="9" t="s">
        <v>63</v>
      </c>
      <c r="C5" s="9" t="s">
        <v>64</v>
      </c>
      <c r="D5" s="9" t="s">
        <v>65</v>
      </c>
      <c r="E5" s="9" t="s">
        <v>66</v>
      </c>
      <c r="F5" s="10" t="s">
        <v>67</v>
      </c>
      <c r="G5" s="13" t="s">
        <v>56</v>
      </c>
      <c r="H5" s="9" t="s">
        <v>68</v>
      </c>
      <c r="I5" s="12" t="s">
        <v>52</v>
      </c>
    </row>
    <row r="6" customFormat="false" ht="61.5" hidden="false" customHeight="true" outlineLevel="0" collapsed="false">
      <c r="A6" s="8" t="n">
        <v>5</v>
      </c>
      <c r="B6" s="9" t="s">
        <v>69</v>
      </c>
      <c r="C6" s="9" t="s">
        <v>70</v>
      </c>
      <c r="D6" s="9" t="s">
        <v>71</v>
      </c>
      <c r="E6" s="9" t="s">
        <v>72</v>
      </c>
      <c r="F6" s="10" t="s">
        <v>73</v>
      </c>
      <c r="G6" s="11" t="s">
        <v>50</v>
      </c>
      <c r="H6" s="9" t="s">
        <v>74</v>
      </c>
      <c r="I6" s="12" t="s">
        <v>75</v>
      </c>
    </row>
    <row r="7" customFormat="false" ht="61.5" hidden="false" customHeight="true" outlineLevel="0" collapsed="false">
      <c r="A7" s="8" t="n">
        <v>6</v>
      </c>
      <c r="B7" s="9" t="s">
        <v>76</v>
      </c>
      <c r="C7" s="9" t="s">
        <v>77</v>
      </c>
      <c r="D7" s="9" t="s">
        <v>78</v>
      </c>
      <c r="E7" s="9" t="s">
        <v>79</v>
      </c>
      <c r="F7" s="10" t="s">
        <v>80</v>
      </c>
      <c r="G7" s="11" t="s">
        <v>50</v>
      </c>
      <c r="H7" s="9" t="s">
        <v>81</v>
      </c>
      <c r="I7" s="12" t="s">
        <v>82</v>
      </c>
    </row>
    <row r="8" customFormat="false" ht="61.5" hidden="false" customHeight="true" outlineLevel="0" collapsed="false">
      <c r="A8" s="8" t="n">
        <v>7</v>
      </c>
      <c r="B8" s="9" t="s">
        <v>76</v>
      </c>
      <c r="C8" s="9" t="s">
        <v>83</v>
      </c>
      <c r="D8" s="9" t="s">
        <v>84</v>
      </c>
      <c r="E8" s="9" t="s">
        <v>85</v>
      </c>
      <c r="F8" s="10" t="s">
        <v>86</v>
      </c>
      <c r="G8" s="14" t="s">
        <v>87</v>
      </c>
      <c r="H8" s="9" t="s">
        <v>88</v>
      </c>
      <c r="I8" s="12" t="s">
        <v>82</v>
      </c>
    </row>
    <row r="9" customFormat="false" ht="61.5" hidden="false" customHeight="true" outlineLevel="0" collapsed="false">
      <c r="A9" s="8" t="n">
        <v>8</v>
      </c>
      <c r="B9" s="9" t="s">
        <v>89</v>
      </c>
      <c r="C9" s="9" t="s">
        <v>90</v>
      </c>
      <c r="D9" s="9" t="s">
        <v>91</v>
      </c>
      <c r="E9" s="9" t="s">
        <v>92</v>
      </c>
      <c r="F9" s="10" t="s">
        <v>93</v>
      </c>
      <c r="G9" s="11" t="s">
        <v>50</v>
      </c>
      <c r="H9" s="9" t="s">
        <v>94</v>
      </c>
      <c r="I9" s="12" t="s">
        <v>95</v>
      </c>
    </row>
    <row r="10" customFormat="false" ht="61.5" hidden="false" customHeight="true" outlineLevel="0" collapsed="false">
      <c r="A10" s="8" t="n">
        <v>9</v>
      </c>
      <c r="B10" s="9" t="s">
        <v>89</v>
      </c>
      <c r="C10" s="9" t="s">
        <v>96</v>
      </c>
      <c r="D10" s="9" t="s">
        <v>97</v>
      </c>
      <c r="E10" s="9" t="s">
        <v>98</v>
      </c>
      <c r="F10" s="10" t="s">
        <v>99</v>
      </c>
      <c r="G10" s="13" t="s">
        <v>56</v>
      </c>
      <c r="H10" s="9" t="s">
        <v>100</v>
      </c>
      <c r="I10" s="12" t="s">
        <v>101</v>
      </c>
    </row>
    <row r="11" customFormat="false" ht="61.5" hidden="false" customHeight="true" outlineLevel="0" collapsed="false">
      <c r="A11" s="8" t="n">
        <v>10</v>
      </c>
      <c r="B11" s="9" t="s">
        <v>89</v>
      </c>
      <c r="C11" s="9" t="s">
        <v>102</v>
      </c>
      <c r="D11" s="9" t="s">
        <v>103</v>
      </c>
      <c r="E11" s="9" t="s">
        <v>104</v>
      </c>
      <c r="F11" s="10" t="s">
        <v>105</v>
      </c>
      <c r="G11" s="14" t="s">
        <v>87</v>
      </c>
      <c r="H11" s="9" t="s">
        <v>106</v>
      </c>
      <c r="I11" s="12" t="s">
        <v>107</v>
      </c>
    </row>
    <row r="12" customFormat="false" ht="61.5" hidden="false" customHeight="true" outlineLevel="0" collapsed="false">
      <c r="A12" s="8" t="n">
        <v>11</v>
      </c>
      <c r="B12" s="9" t="s">
        <v>89</v>
      </c>
      <c r="C12" s="9" t="s">
        <v>108</v>
      </c>
      <c r="D12" s="9" t="s">
        <v>109</v>
      </c>
      <c r="E12" s="9" t="s">
        <v>110</v>
      </c>
      <c r="F12" s="10" t="s">
        <v>111</v>
      </c>
      <c r="G12" s="13" t="s">
        <v>56</v>
      </c>
      <c r="H12" s="9" t="s">
        <v>112</v>
      </c>
      <c r="I12" s="12" t="s">
        <v>101</v>
      </c>
    </row>
    <row r="13" customFormat="false" ht="61.5" hidden="false" customHeight="true" outlineLevel="0" collapsed="false">
      <c r="A13" s="8" t="n">
        <v>12</v>
      </c>
      <c r="B13" s="9" t="s">
        <v>113</v>
      </c>
      <c r="C13" s="9" t="s">
        <v>114</v>
      </c>
      <c r="D13" s="9" t="s">
        <v>115</v>
      </c>
      <c r="E13" s="9" t="s">
        <v>116</v>
      </c>
      <c r="F13" s="10" t="s">
        <v>117</v>
      </c>
      <c r="G13" s="13" t="s">
        <v>56</v>
      </c>
      <c r="H13" s="9" t="s">
        <v>118</v>
      </c>
      <c r="I13" s="12" t="s">
        <v>119</v>
      </c>
    </row>
    <row r="14" customFormat="false" ht="61.5" hidden="false" customHeight="true" outlineLevel="0" collapsed="false">
      <c r="A14" s="8" t="n">
        <v>13</v>
      </c>
      <c r="B14" s="9" t="s">
        <v>120</v>
      </c>
      <c r="C14" s="9" t="s">
        <v>121</v>
      </c>
      <c r="D14" s="9" t="s">
        <v>122</v>
      </c>
      <c r="E14" s="9" t="s">
        <v>123</v>
      </c>
      <c r="F14" s="10" t="s">
        <v>61</v>
      </c>
      <c r="G14" s="11" t="s">
        <v>50</v>
      </c>
      <c r="H14" s="9" t="s">
        <v>124</v>
      </c>
      <c r="I14" s="12" t="s">
        <v>125</v>
      </c>
    </row>
    <row r="15" customFormat="false" ht="61.5" hidden="false" customHeight="true" outlineLevel="0" collapsed="false">
      <c r="A15" s="8" t="n">
        <v>14</v>
      </c>
      <c r="B15" s="9" t="s">
        <v>120</v>
      </c>
      <c r="C15" s="9" t="s">
        <v>126</v>
      </c>
      <c r="D15" s="9" t="s">
        <v>127</v>
      </c>
      <c r="E15" s="9" t="s">
        <v>128</v>
      </c>
      <c r="F15" s="10" t="s">
        <v>129</v>
      </c>
      <c r="G15" s="13" t="s">
        <v>56</v>
      </c>
      <c r="H15" s="9" t="s">
        <v>130</v>
      </c>
      <c r="I15" s="12" t="s">
        <v>125</v>
      </c>
    </row>
    <row r="16" customFormat="false" ht="61.5" hidden="false" customHeight="true" outlineLevel="0" collapsed="false">
      <c r="A16" s="8" t="n">
        <v>15</v>
      </c>
      <c r="B16" s="9" t="s">
        <v>120</v>
      </c>
      <c r="C16" s="9" t="s">
        <v>131</v>
      </c>
      <c r="D16" s="9" t="s">
        <v>132</v>
      </c>
      <c r="E16" s="9" t="s">
        <v>133</v>
      </c>
      <c r="F16" s="10" t="s">
        <v>86</v>
      </c>
      <c r="G16" s="14" t="s">
        <v>87</v>
      </c>
      <c r="H16" s="9" t="s">
        <v>134</v>
      </c>
      <c r="I16" s="12" t="s">
        <v>135</v>
      </c>
    </row>
    <row r="17" customFormat="false" ht="61.5" hidden="false" customHeight="true" outlineLevel="0" collapsed="false">
      <c r="A17" s="8" t="n">
        <v>16</v>
      </c>
      <c r="B17" s="9" t="s">
        <v>120</v>
      </c>
      <c r="C17" s="9" t="s">
        <v>136</v>
      </c>
      <c r="D17" s="9" t="s">
        <v>137</v>
      </c>
      <c r="E17" s="9" t="s">
        <v>138</v>
      </c>
      <c r="F17" s="10" t="s">
        <v>139</v>
      </c>
      <c r="G17" s="14" t="s">
        <v>87</v>
      </c>
      <c r="H17" s="9" t="s">
        <v>140</v>
      </c>
      <c r="I17" s="12" t="s">
        <v>135</v>
      </c>
    </row>
    <row r="18" customFormat="false" ht="61.5" hidden="false" customHeight="true" outlineLevel="0" collapsed="false">
      <c r="A18" s="8" t="n">
        <v>17</v>
      </c>
      <c r="B18" s="9" t="s">
        <v>120</v>
      </c>
      <c r="C18" s="9" t="s">
        <v>141</v>
      </c>
      <c r="D18" s="9" t="s">
        <v>142</v>
      </c>
      <c r="E18" s="9" t="s">
        <v>143</v>
      </c>
      <c r="F18" s="10" t="s">
        <v>111</v>
      </c>
      <c r="G18" s="13" t="s">
        <v>56</v>
      </c>
      <c r="H18" s="9" t="s">
        <v>144</v>
      </c>
      <c r="I18" s="12" t="s">
        <v>145</v>
      </c>
    </row>
    <row r="19" customFormat="false" ht="61.5" hidden="false" customHeight="true" outlineLevel="0" collapsed="false">
      <c r="A19" s="8" t="n">
        <v>18</v>
      </c>
      <c r="B19" s="9" t="s">
        <v>146</v>
      </c>
      <c r="C19" s="9" t="s">
        <v>147</v>
      </c>
      <c r="D19" s="9" t="s">
        <v>148</v>
      </c>
      <c r="E19" s="9" t="s">
        <v>149</v>
      </c>
      <c r="F19" s="10" t="s">
        <v>61</v>
      </c>
      <c r="G19" s="13" t="s">
        <v>56</v>
      </c>
      <c r="H19" s="9" t="s">
        <v>150</v>
      </c>
      <c r="I19" s="12" t="s">
        <v>125</v>
      </c>
    </row>
    <row r="20" customFormat="false" ht="61.5" hidden="false" customHeight="true" outlineLevel="0" collapsed="false">
      <c r="A20" s="8" t="n">
        <v>19</v>
      </c>
      <c r="B20" s="9" t="s">
        <v>146</v>
      </c>
      <c r="C20" s="9" t="s">
        <v>151</v>
      </c>
      <c r="D20" s="9" t="s">
        <v>152</v>
      </c>
      <c r="E20" s="9" t="s">
        <v>153</v>
      </c>
      <c r="F20" s="10" t="s">
        <v>154</v>
      </c>
      <c r="G20" s="13" t="s">
        <v>56</v>
      </c>
      <c r="H20" s="9" t="s">
        <v>155</v>
      </c>
      <c r="I20" s="12" t="s">
        <v>156</v>
      </c>
    </row>
    <row r="21" customFormat="false" ht="61.5" hidden="false" customHeight="true" outlineLevel="0" collapsed="false">
      <c r="A21" s="8" t="n">
        <v>20</v>
      </c>
      <c r="B21" s="9" t="s">
        <v>157</v>
      </c>
      <c r="C21" s="9" t="s">
        <v>158</v>
      </c>
      <c r="D21" s="9" t="s">
        <v>159</v>
      </c>
      <c r="E21" s="9" t="s">
        <v>160</v>
      </c>
      <c r="F21" s="10" t="s">
        <v>93</v>
      </c>
      <c r="G21" s="11" t="s">
        <v>50</v>
      </c>
      <c r="H21" s="9" t="s">
        <v>161</v>
      </c>
      <c r="I21" s="12" t="s">
        <v>162</v>
      </c>
    </row>
    <row r="22" customFormat="false" ht="61.5" hidden="false" customHeight="true" outlineLevel="0" collapsed="false">
      <c r="A22" s="8" t="n">
        <v>21</v>
      </c>
      <c r="B22" s="9" t="s">
        <v>163</v>
      </c>
      <c r="C22" s="9" t="s">
        <v>164</v>
      </c>
      <c r="D22" s="9" t="s">
        <v>165</v>
      </c>
      <c r="E22" s="9" t="s">
        <v>166</v>
      </c>
      <c r="F22" s="10" t="s">
        <v>167</v>
      </c>
      <c r="G22" s="14" t="s">
        <v>87</v>
      </c>
      <c r="H22" s="9" t="s">
        <v>168</v>
      </c>
      <c r="I22" s="12" t="s">
        <v>169</v>
      </c>
    </row>
    <row r="23" customFormat="false" ht="61.5" hidden="false" customHeight="true" outlineLevel="0" collapsed="false">
      <c r="A23" s="8" t="n">
        <v>22</v>
      </c>
      <c r="B23" s="9" t="s">
        <v>170</v>
      </c>
      <c r="C23" s="9" t="s">
        <v>171</v>
      </c>
      <c r="D23" s="9" t="s">
        <v>172</v>
      </c>
      <c r="E23" s="9" t="s">
        <v>173</v>
      </c>
      <c r="F23" s="10" t="s">
        <v>86</v>
      </c>
      <c r="G23" s="11" t="s">
        <v>50</v>
      </c>
      <c r="H23" s="9" t="s">
        <v>174</v>
      </c>
      <c r="I23" s="12" t="s">
        <v>175</v>
      </c>
    </row>
    <row r="24" customFormat="false" ht="61.5" hidden="false" customHeight="true" outlineLevel="0" collapsed="false">
      <c r="A24" s="8" t="n">
        <v>23</v>
      </c>
      <c r="B24" s="9" t="s">
        <v>176</v>
      </c>
      <c r="C24" s="9" t="s">
        <v>177</v>
      </c>
      <c r="D24" s="9" t="s">
        <v>178</v>
      </c>
      <c r="E24" s="9" t="s">
        <v>179</v>
      </c>
      <c r="F24" s="10" t="s">
        <v>180</v>
      </c>
      <c r="G24" s="11" t="s">
        <v>50</v>
      </c>
      <c r="H24" s="9" t="s">
        <v>181</v>
      </c>
      <c r="I24" s="12" t="s">
        <v>182</v>
      </c>
    </row>
  </sheetData>
  <autoFilter ref="A1:I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52"/>
    <col collapsed="false" customWidth="true" hidden="false" outlineLevel="0" max="4" min="4" style="1" width="62"/>
    <col collapsed="false" customWidth="true" hidden="false" outlineLevel="0" max="5" min="5" style="1" width="24"/>
    <col collapsed="false" customWidth="true" hidden="false" outlineLevel="0" max="6" min="6" style="1" width="32"/>
    <col collapsed="false" customWidth="true" hidden="false" outlineLevel="0" max="7" min="7" style="1" width="18"/>
    <col collapsed="false" customWidth="true" hidden="false" outlineLevel="0" max="8" min="8" style="1" width="11"/>
    <col collapsed="false" customWidth="true" hidden="false" outlineLevel="0" max="9" min="9" style="1" width="13"/>
    <col collapsed="false" customWidth="true" hidden="false" outlineLevel="0" max="10" min="10" style="1" width="24"/>
  </cols>
  <sheetData>
    <row r="1" customFormat="false" ht="33.75" hidden="false" customHeight="true" outlineLevel="0" collapsed="false">
      <c r="A1" s="7" t="s">
        <v>183</v>
      </c>
      <c r="B1" s="7" t="s">
        <v>184</v>
      </c>
      <c r="C1" s="7" t="s">
        <v>185</v>
      </c>
      <c r="D1" s="7" t="s">
        <v>186</v>
      </c>
      <c r="E1" s="7" t="s">
        <v>187</v>
      </c>
      <c r="F1" s="7" t="s">
        <v>188</v>
      </c>
      <c r="G1" s="7" t="s">
        <v>189</v>
      </c>
      <c r="H1" s="7" t="s">
        <v>190</v>
      </c>
      <c r="I1" s="7" t="s">
        <v>191</v>
      </c>
      <c r="J1" s="7" t="s">
        <v>192</v>
      </c>
    </row>
    <row r="2" customFormat="false" ht="117.75" hidden="false" customHeight="true" outlineLevel="0" collapsed="false">
      <c r="A2" s="15" t="s">
        <v>75</v>
      </c>
      <c r="B2" s="9" t="s">
        <v>193</v>
      </c>
      <c r="C2" s="9" t="s">
        <v>194</v>
      </c>
      <c r="D2" s="9" t="s">
        <v>195</v>
      </c>
      <c r="E2" s="9" t="s">
        <v>196</v>
      </c>
      <c r="F2" s="9" t="s">
        <v>197</v>
      </c>
      <c r="G2" s="9" t="s">
        <v>198</v>
      </c>
      <c r="H2" s="16" t="n">
        <v>8</v>
      </c>
      <c r="I2" s="11" t="s">
        <v>199</v>
      </c>
      <c r="J2" s="9" t="s">
        <v>200</v>
      </c>
    </row>
    <row r="3" customFormat="false" ht="117.75" hidden="false" customHeight="true" outlineLevel="0" collapsed="false">
      <c r="A3" s="15" t="s">
        <v>82</v>
      </c>
      <c r="B3" s="9" t="s">
        <v>201</v>
      </c>
      <c r="C3" s="9" t="s">
        <v>202</v>
      </c>
      <c r="D3" s="9" t="s">
        <v>203</v>
      </c>
      <c r="E3" s="9" t="s">
        <v>204</v>
      </c>
      <c r="F3" s="9" t="s">
        <v>205</v>
      </c>
      <c r="G3" s="9" t="s">
        <v>206</v>
      </c>
      <c r="H3" s="16" t="n">
        <v>10</v>
      </c>
      <c r="I3" s="11" t="s">
        <v>199</v>
      </c>
      <c r="J3" s="9" t="s">
        <v>207</v>
      </c>
    </row>
    <row r="4" customFormat="false" ht="117.75" hidden="false" customHeight="true" outlineLevel="0" collapsed="false">
      <c r="A4" s="15" t="s">
        <v>95</v>
      </c>
      <c r="B4" s="9" t="s">
        <v>208</v>
      </c>
      <c r="C4" s="9" t="s">
        <v>209</v>
      </c>
      <c r="D4" s="9" t="s">
        <v>210</v>
      </c>
      <c r="E4" s="9" t="s">
        <v>211</v>
      </c>
      <c r="F4" s="9" t="s">
        <v>212</v>
      </c>
      <c r="G4" s="9" t="s">
        <v>213</v>
      </c>
      <c r="H4" s="16" t="n">
        <v>10</v>
      </c>
      <c r="I4" s="11" t="s">
        <v>199</v>
      </c>
      <c r="J4" s="9" t="s">
        <v>214</v>
      </c>
    </row>
    <row r="5" customFormat="false" ht="117.75" hidden="false" customHeight="true" outlineLevel="0" collapsed="false">
      <c r="A5" s="15" t="s">
        <v>119</v>
      </c>
      <c r="B5" s="9" t="s">
        <v>215</v>
      </c>
      <c r="C5" s="9" t="s">
        <v>216</v>
      </c>
      <c r="D5" s="9" t="s">
        <v>217</v>
      </c>
      <c r="E5" s="9" t="s">
        <v>218</v>
      </c>
      <c r="F5" s="9" t="s">
        <v>219</v>
      </c>
      <c r="G5" s="9" t="s">
        <v>220</v>
      </c>
      <c r="H5" s="16" t="n">
        <v>6</v>
      </c>
      <c r="I5" s="13" t="s">
        <v>221</v>
      </c>
      <c r="J5" s="9" t="s">
        <v>222</v>
      </c>
    </row>
    <row r="6" customFormat="false" ht="117.75" hidden="false" customHeight="true" outlineLevel="0" collapsed="false">
      <c r="A6" s="15" t="s">
        <v>101</v>
      </c>
      <c r="B6" s="9" t="s">
        <v>223</v>
      </c>
      <c r="C6" s="9" t="s">
        <v>224</v>
      </c>
      <c r="D6" s="9" t="s">
        <v>225</v>
      </c>
      <c r="E6" s="9" t="s">
        <v>196</v>
      </c>
      <c r="F6" s="9" t="s">
        <v>226</v>
      </c>
      <c r="G6" s="9" t="s">
        <v>227</v>
      </c>
      <c r="H6" s="16" t="n">
        <v>8</v>
      </c>
      <c r="I6" s="13" t="s">
        <v>221</v>
      </c>
      <c r="J6" s="9" t="s">
        <v>228</v>
      </c>
    </row>
    <row r="7" customFormat="false" ht="117.75" hidden="false" customHeight="true" outlineLevel="0" collapsed="false">
      <c r="A7" s="15" t="s">
        <v>52</v>
      </c>
      <c r="B7" s="9" t="s">
        <v>229</v>
      </c>
      <c r="C7" s="9" t="s">
        <v>230</v>
      </c>
      <c r="D7" s="9" t="s">
        <v>231</v>
      </c>
      <c r="E7" s="9" t="s">
        <v>232</v>
      </c>
      <c r="F7" s="9" t="s">
        <v>233</v>
      </c>
      <c r="G7" s="9" t="s">
        <v>234</v>
      </c>
      <c r="H7" s="16" t="n">
        <v>12</v>
      </c>
      <c r="I7" s="11" t="s">
        <v>199</v>
      </c>
      <c r="J7" s="9" t="s">
        <v>207</v>
      </c>
    </row>
    <row r="8" customFormat="false" ht="117.75" hidden="false" customHeight="true" outlineLevel="0" collapsed="false">
      <c r="A8" s="15" t="s">
        <v>125</v>
      </c>
      <c r="B8" s="9" t="s">
        <v>235</v>
      </c>
      <c r="C8" s="9" t="s">
        <v>236</v>
      </c>
      <c r="D8" s="9" t="s">
        <v>237</v>
      </c>
      <c r="E8" s="9" t="s">
        <v>232</v>
      </c>
      <c r="F8" s="9" t="s">
        <v>238</v>
      </c>
      <c r="G8" s="9" t="s">
        <v>239</v>
      </c>
      <c r="H8" s="16" t="n">
        <v>10</v>
      </c>
      <c r="I8" s="13" t="s">
        <v>221</v>
      </c>
      <c r="J8" s="9" t="s">
        <v>222</v>
      </c>
    </row>
    <row r="9" customFormat="false" ht="117.75" hidden="false" customHeight="true" outlineLevel="0" collapsed="false">
      <c r="A9" s="15" t="s">
        <v>135</v>
      </c>
      <c r="B9" s="9" t="s">
        <v>240</v>
      </c>
      <c r="C9" s="9" t="s">
        <v>241</v>
      </c>
      <c r="D9" s="9" t="s">
        <v>242</v>
      </c>
      <c r="E9" s="9" t="s">
        <v>243</v>
      </c>
      <c r="F9" s="9" t="s">
        <v>244</v>
      </c>
      <c r="G9" s="9" t="s">
        <v>245</v>
      </c>
      <c r="H9" s="16" t="n">
        <v>6</v>
      </c>
      <c r="I9" s="17" t="s">
        <v>246</v>
      </c>
      <c r="J9" s="9" t="s">
        <v>222</v>
      </c>
    </row>
    <row r="10" customFormat="false" ht="117.75" hidden="false" customHeight="true" outlineLevel="0" collapsed="false">
      <c r="A10" s="15" t="s">
        <v>162</v>
      </c>
      <c r="B10" s="9" t="s">
        <v>247</v>
      </c>
      <c r="C10" s="9" t="s">
        <v>248</v>
      </c>
      <c r="D10" s="9" t="s">
        <v>249</v>
      </c>
      <c r="E10" s="9" t="s">
        <v>232</v>
      </c>
      <c r="F10" s="9" t="s">
        <v>250</v>
      </c>
      <c r="G10" s="9" t="s">
        <v>234</v>
      </c>
      <c r="H10" s="16" t="n">
        <v>12</v>
      </c>
      <c r="I10" s="13" t="s">
        <v>221</v>
      </c>
      <c r="J10" s="9" t="s">
        <v>214</v>
      </c>
    </row>
    <row r="11" customFormat="false" ht="117.75" hidden="false" customHeight="true" outlineLevel="0" collapsed="false">
      <c r="A11" s="15" t="s">
        <v>156</v>
      </c>
      <c r="B11" s="9" t="s">
        <v>251</v>
      </c>
      <c r="C11" s="9" t="s">
        <v>252</v>
      </c>
      <c r="D11" s="9" t="s">
        <v>253</v>
      </c>
      <c r="E11" s="9" t="s">
        <v>232</v>
      </c>
      <c r="F11" s="9" t="s">
        <v>254</v>
      </c>
      <c r="G11" s="9" t="s">
        <v>255</v>
      </c>
      <c r="H11" s="16" t="n">
        <v>5</v>
      </c>
      <c r="I11" s="17" t="s">
        <v>246</v>
      </c>
      <c r="J11" s="9" t="s">
        <v>222</v>
      </c>
    </row>
    <row r="12" customFormat="false" ht="117.75" hidden="false" customHeight="true" outlineLevel="0" collapsed="false">
      <c r="A12" s="15" t="s">
        <v>145</v>
      </c>
      <c r="B12" s="9" t="s">
        <v>256</v>
      </c>
      <c r="C12" s="9" t="s">
        <v>257</v>
      </c>
      <c r="D12" s="9" t="s">
        <v>258</v>
      </c>
      <c r="E12" s="9" t="s">
        <v>259</v>
      </c>
      <c r="F12" s="9" t="s">
        <v>260</v>
      </c>
      <c r="G12" s="9" t="s">
        <v>220</v>
      </c>
      <c r="H12" s="16" t="n">
        <v>2</v>
      </c>
      <c r="I12" s="14" t="s">
        <v>261</v>
      </c>
      <c r="J12" s="9" t="s">
        <v>214</v>
      </c>
    </row>
    <row r="13" customFormat="false" ht="117.75" hidden="false" customHeight="true" outlineLevel="0" collapsed="false">
      <c r="A13" s="15" t="s">
        <v>175</v>
      </c>
      <c r="B13" s="9" t="s">
        <v>262</v>
      </c>
      <c r="C13" s="9" t="s">
        <v>263</v>
      </c>
      <c r="D13" s="9" t="s">
        <v>264</v>
      </c>
      <c r="E13" s="9" t="s">
        <v>265</v>
      </c>
      <c r="F13" s="9" t="s">
        <v>266</v>
      </c>
      <c r="G13" s="9" t="s">
        <v>220</v>
      </c>
      <c r="H13" s="16" t="n">
        <v>15</v>
      </c>
      <c r="I13" s="13" t="s">
        <v>221</v>
      </c>
      <c r="J13" s="9" t="s">
        <v>267</v>
      </c>
    </row>
    <row r="14" customFormat="false" ht="117.75" hidden="false" customHeight="true" outlineLevel="0" collapsed="false">
      <c r="A14" s="15" t="s">
        <v>182</v>
      </c>
      <c r="B14" s="9" t="s">
        <v>268</v>
      </c>
      <c r="C14" s="9" t="s">
        <v>269</v>
      </c>
      <c r="D14" s="9" t="s">
        <v>270</v>
      </c>
      <c r="E14" s="9" t="s">
        <v>271</v>
      </c>
      <c r="F14" s="9" t="s">
        <v>272</v>
      </c>
      <c r="G14" s="9" t="s">
        <v>273</v>
      </c>
      <c r="H14" s="16" t="n">
        <v>5</v>
      </c>
      <c r="I14" s="17" t="s">
        <v>246</v>
      </c>
      <c r="J14" s="9" t="s">
        <v>214</v>
      </c>
    </row>
    <row r="15" customFormat="false" ht="117.75" hidden="false" customHeight="true" outlineLevel="0" collapsed="false">
      <c r="A15" s="15" t="s">
        <v>169</v>
      </c>
      <c r="B15" s="9" t="s">
        <v>274</v>
      </c>
      <c r="C15" s="9" t="s">
        <v>275</v>
      </c>
      <c r="D15" s="9" t="s">
        <v>276</v>
      </c>
      <c r="E15" s="9" t="s">
        <v>277</v>
      </c>
      <c r="F15" s="9" t="s">
        <v>278</v>
      </c>
      <c r="G15" s="9" t="s">
        <v>279</v>
      </c>
      <c r="H15" s="16" t="n">
        <v>7</v>
      </c>
      <c r="I15" s="17" t="s">
        <v>246</v>
      </c>
      <c r="J15" s="9" t="s">
        <v>280</v>
      </c>
    </row>
    <row r="16" customFormat="false" ht="117.75" hidden="false" customHeight="true" outlineLevel="0" collapsed="false">
      <c r="A16" s="15" t="s">
        <v>107</v>
      </c>
      <c r="B16" s="9" t="s">
        <v>281</v>
      </c>
      <c r="C16" s="9" t="s">
        <v>282</v>
      </c>
      <c r="D16" s="9" t="s">
        <v>283</v>
      </c>
      <c r="E16" s="9" t="s">
        <v>232</v>
      </c>
      <c r="F16" s="9" t="s">
        <v>284</v>
      </c>
      <c r="G16" s="9" t="s">
        <v>285</v>
      </c>
      <c r="H16" s="16" t="n">
        <v>3</v>
      </c>
      <c r="I16" s="14" t="s">
        <v>261</v>
      </c>
      <c r="J16" s="9" t="s">
        <v>286</v>
      </c>
    </row>
    <row r="17" customFormat="false" ht="15" hidden="false" customHeight="true" outlineLevel="0" collapsed="false">
      <c r="G17" s="18" t="s">
        <v>287</v>
      </c>
      <c r="H17" s="19" t="n">
        <f aca="false">SUM(H2:H16)</f>
        <v>119</v>
      </c>
      <c r="I17" s="20" t="s">
        <v>288</v>
      </c>
    </row>
  </sheetData>
  <autoFilter ref="A1:J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3" min="3" style="1" width="32"/>
    <col collapsed="false" customWidth="true" hidden="false" outlineLevel="0" max="4" min="4" style="1" width="42"/>
    <col collapsed="false" customWidth="true" hidden="false" outlineLevel="0" max="5" min="5" style="1" width="86"/>
    <col collapsed="false" customWidth="true" hidden="false" outlineLevel="0" max="6" min="6" style="1" width="36"/>
    <col collapsed="false" customWidth="true" hidden="false" outlineLevel="0" max="7" min="7" style="1" width="32"/>
    <col collapsed="false" customWidth="true" hidden="false" outlineLevel="0" max="8" min="8" style="1" width="40"/>
    <col collapsed="false" customWidth="true" hidden="false" outlineLevel="0" max="9" min="9" style="1" width="52"/>
  </cols>
  <sheetData>
    <row r="1" customFormat="false" ht="33.75" hidden="false" customHeight="true" outlineLevel="0" collapsed="false">
      <c r="A1" s="7" t="s">
        <v>183</v>
      </c>
      <c r="B1" s="7" t="s">
        <v>289</v>
      </c>
      <c r="C1" s="7" t="s">
        <v>290</v>
      </c>
      <c r="D1" s="7" t="s">
        <v>291</v>
      </c>
      <c r="E1" s="7" t="s">
        <v>292</v>
      </c>
      <c r="F1" s="7" t="s">
        <v>293</v>
      </c>
      <c r="G1" s="7" t="s">
        <v>294</v>
      </c>
      <c r="H1" s="7" t="s">
        <v>295</v>
      </c>
      <c r="I1" s="7" t="s">
        <v>296</v>
      </c>
    </row>
    <row r="2" customFormat="false" ht="174.75" hidden="false" customHeight="true" outlineLevel="0" collapsed="false">
      <c r="A2" s="15" t="s">
        <v>75</v>
      </c>
      <c r="B2" s="9" t="s">
        <v>297</v>
      </c>
      <c r="C2" s="9" t="s">
        <v>298</v>
      </c>
      <c r="D2" s="9" t="s">
        <v>299</v>
      </c>
      <c r="E2" s="9" t="s">
        <v>300</v>
      </c>
      <c r="F2" s="9" t="s">
        <v>301</v>
      </c>
      <c r="G2" s="9" t="s">
        <v>302</v>
      </c>
      <c r="H2" s="9" t="s">
        <v>303</v>
      </c>
      <c r="I2" s="9" t="s">
        <v>304</v>
      </c>
    </row>
    <row r="3" customFormat="false" ht="174.75" hidden="false" customHeight="true" outlineLevel="0" collapsed="false">
      <c r="A3" s="15" t="s">
        <v>82</v>
      </c>
      <c r="B3" s="9" t="s">
        <v>305</v>
      </c>
      <c r="C3" s="9" t="s">
        <v>306</v>
      </c>
      <c r="D3" s="9" t="s">
        <v>307</v>
      </c>
      <c r="E3" s="9" t="s">
        <v>308</v>
      </c>
      <c r="F3" s="9" t="s">
        <v>309</v>
      </c>
      <c r="G3" s="9" t="s">
        <v>310</v>
      </c>
      <c r="H3" s="9" t="s">
        <v>311</v>
      </c>
      <c r="I3" s="9" t="s">
        <v>312</v>
      </c>
    </row>
    <row r="4" customFormat="false" ht="174.75" hidden="false" customHeight="true" outlineLevel="0" collapsed="false">
      <c r="A4" s="15" t="s">
        <v>95</v>
      </c>
      <c r="B4" s="9" t="s">
        <v>313</v>
      </c>
      <c r="C4" s="9" t="s">
        <v>314</v>
      </c>
      <c r="D4" s="9" t="s">
        <v>315</v>
      </c>
      <c r="E4" s="9" t="s">
        <v>316</v>
      </c>
      <c r="F4" s="9" t="s">
        <v>317</v>
      </c>
      <c r="G4" s="9" t="s">
        <v>318</v>
      </c>
      <c r="H4" s="9" t="s">
        <v>319</v>
      </c>
      <c r="I4" s="9" t="s">
        <v>320</v>
      </c>
    </row>
    <row r="5" customFormat="false" ht="174.75" hidden="false" customHeight="true" outlineLevel="0" collapsed="false">
      <c r="A5" s="15" t="s">
        <v>119</v>
      </c>
      <c r="B5" s="9" t="s">
        <v>321</v>
      </c>
      <c r="C5" s="9" t="s">
        <v>322</v>
      </c>
      <c r="D5" s="9" t="s">
        <v>323</v>
      </c>
      <c r="E5" s="9" t="s">
        <v>324</v>
      </c>
      <c r="F5" s="9" t="s">
        <v>325</v>
      </c>
      <c r="G5" s="9" t="s">
        <v>326</v>
      </c>
      <c r="H5" s="9" t="s">
        <v>327</v>
      </c>
      <c r="I5" s="9" t="s">
        <v>328</v>
      </c>
    </row>
    <row r="6" customFormat="false" ht="174.75" hidden="false" customHeight="true" outlineLevel="0" collapsed="false">
      <c r="A6" s="15" t="s">
        <v>101</v>
      </c>
      <c r="B6" s="9" t="s">
        <v>329</v>
      </c>
      <c r="C6" s="9" t="s">
        <v>330</v>
      </c>
      <c r="D6" s="9" t="s">
        <v>331</v>
      </c>
      <c r="E6" s="9" t="s">
        <v>332</v>
      </c>
      <c r="F6" s="9" t="s">
        <v>333</v>
      </c>
      <c r="G6" s="9" t="s">
        <v>334</v>
      </c>
      <c r="H6" s="9" t="s">
        <v>335</v>
      </c>
      <c r="I6" s="9" t="s">
        <v>336</v>
      </c>
    </row>
    <row r="7" customFormat="false" ht="174.75" hidden="false" customHeight="true" outlineLevel="0" collapsed="false">
      <c r="A7" s="15" t="s">
        <v>52</v>
      </c>
      <c r="B7" s="9" t="s">
        <v>337</v>
      </c>
      <c r="C7" s="9" t="s">
        <v>338</v>
      </c>
      <c r="D7" s="9" t="s">
        <v>339</v>
      </c>
      <c r="E7" s="9" t="s">
        <v>340</v>
      </c>
      <c r="F7" s="9" t="s">
        <v>341</v>
      </c>
      <c r="G7" s="9" t="s">
        <v>342</v>
      </c>
      <c r="H7" s="9" t="s">
        <v>343</v>
      </c>
      <c r="I7" s="9" t="s">
        <v>344</v>
      </c>
    </row>
    <row r="8" customFormat="false" ht="174.75" hidden="false" customHeight="true" outlineLevel="0" collapsed="false">
      <c r="A8" s="15" t="s">
        <v>125</v>
      </c>
      <c r="B8" s="9" t="s">
        <v>345</v>
      </c>
      <c r="C8" s="9" t="s">
        <v>346</v>
      </c>
      <c r="D8" s="9" t="s">
        <v>347</v>
      </c>
      <c r="E8" s="9" t="s">
        <v>348</v>
      </c>
      <c r="F8" s="9" t="s">
        <v>349</v>
      </c>
      <c r="G8" s="9" t="s">
        <v>350</v>
      </c>
      <c r="H8" s="9" t="s">
        <v>351</v>
      </c>
      <c r="I8" s="9" t="s">
        <v>352</v>
      </c>
    </row>
    <row r="9" customFormat="false" ht="174.75" hidden="false" customHeight="true" outlineLevel="0" collapsed="false">
      <c r="A9" s="15" t="s">
        <v>135</v>
      </c>
      <c r="B9" s="9" t="s">
        <v>353</v>
      </c>
      <c r="C9" s="9" t="s">
        <v>354</v>
      </c>
      <c r="D9" s="9" t="s">
        <v>355</v>
      </c>
      <c r="E9" s="9" t="s">
        <v>356</v>
      </c>
      <c r="F9" s="9" t="s">
        <v>357</v>
      </c>
      <c r="G9" s="9" t="s">
        <v>358</v>
      </c>
      <c r="H9" s="9" t="s">
        <v>359</v>
      </c>
      <c r="I9" s="9" t="s">
        <v>360</v>
      </c>
    </row>
    <row r="10" customFormat="false" ht="174.75" hidden="false" customHeight="true" outlineLevel="0" collapsed="false">
      <c r="A10" s="15" t="s">
        <v>162</v>
      </c>
      <c r="B10" s="9" t="s">
        <v>361</v>
      </c>
      <c r="C10" s="9" t="s">
        <v>362</v>
      </c>
      <c r="D10" s="9" t="s">
        <v>363</v>
      </c>
      <c r="E10" s="9" t="s">
        <v>364</v>
      </c>
      <c r="F10" s="9" t="s">
        <v>365</v>
      </c>
      <c r="G10" s="9" t="s">
        <v>366</v>
      </c>
      <c r="H10" s="9" t="s">
        <v>367</v>
      </c>
      <c r="I10" s="9" t="s">
        <v>368</v>
      </c>
    </row>
    <row r="11" customFormat="false" ht="174.75" hidden="false" customHeight="true" outlineLevel="0" collapsed="false">
      <c r="A11" s="15" t="s">
        <v>156</v>
      </c>
      <c r="B11" s="9" t="s">
        <v>369</v>
      </c>
      <c r="C11" s="9" t="s">
        <v>370</v>
      </c>
      <c r="D11" s="9" t="s">
        <v>371</v>
      </c>
      <c r="E11" s="9" t="s">
        <v>372</v>
      </c>
      <c r="F11" s="9" t="s">
        <v>373</v>
      </c>
      <c r="G11" s="9" t="s">
        <v>374</v>
      </c>
      <c r="H11" s="9" t="s">
        <v>375</v>
      </c>
      <c r="I11" s="9" t="s">
        <v>376</v>
      </c>
    </row>
    <row r="12" customFormat="false" ht="174.75" hidden="false" customHeight="true" outlineLevel="0" collapsed="false">
      <c r="A12" s="15" t="s">
        <v>145</v>
      </c>
      <c r="B12" s="9" t="s">
        <v>377</v>
      </c>
      <c r="C12" s="9" t="s">
        <v>378</v>
      </c>
      <c r="D12" s="9" t="s">
        <v>379</v>
      </c>
      <c r="E12" s="9" t="s">
        <v>380</v>
      </c>
      <c r="F12" s="9" t="s">
        <v>381</v>
      </c>
      <c r="G12" s="9" t="s">
        <v>382</v>
      </c>
      <c r="H12" s="9" t="s">
        <v>383</v>
      </c>
      <c r="I12" s="9" t="s">
        <v>384</v>
      </c>
    </row>
    <row r="13" customFormat="false" ht="174.75" hidden="false" customHeight="true" outlineLevel="0" collapsed="false">
      <c r="A13" s="15" t="s">
        <v>175</v>
      </c>
      <c r="B13" s="9" t="s">
        <v>385</v>
      </c>
      <c r="C13" s="9" t="s">
        <v>386</v>
      </c>
      <c r="D13" s="9" t="s">
        <v>387</v>
      </c>
      <c r="E13" s="9" t="s">
        <v>388</v>
      </c>
      <c r="F13" s="9" t="s">
        <v>389</v>
      </c>
      <c r="G13" s="9" t="s">
        <v>390</v>
      </c>
      <c r="H13" s="9" t="s">
        <v>391</v>
      </c>
      <c r="I13" s="9" t="s">
        <v>392</v>
      </c>
    </row>
    <row r="14" customFormat="false" ht="174.75" hidden="false" customHeight="true" outlineLevel="0" collapsed="false">
      <c r="A14" s="15" t="s">
        <v>182</v>
      </c>
      <c r="B14" s="9" t="s">
        <v>393</v>
      </c>
      <c r="C14" s="9" t="s">
        <v>394</v>
      </c>
      <c r="D14" s="9" t="s">
        <v>395</v>
      </c>
      <c r="E14" s="9" t="s">
        <v>396</v>
      </c>
      <c r="F14" s="9" t="s">
        <v>397</v>
      </c>
      <c r="G14" s="9" t="s">
        <v>398</v>
      </c>
      <c r="H14" s="9" t="s">
        <v>399</v>
      </c>
      <c r="I14" s="9" t="s">
        <v>400</v>
      </c>
    </row>
    <row r="15" customFormat="false" ht="174.75" hidden="false" customHeight="true" outlineLevel="0" collapsed="false">
      <c r="A15" s="15" t="s">
        <v>169</v>
      </c>
      <c r="B15" s="9" t="s">
        <v>401</v>
      </c>
      <c r="C15" s="9" t="s">
        <v>402</v>
      </c>
      <c r="D15" s="9" t="s">
        <v>403</v>
      </c>
      <c r="E15" s="9" t="s">
        <v>404</v>
      </c>
      <c r="F15" s="9" t="s">
        <v>405</v>
      </c>
      <c r="G15" s="9" t="s">
        <v>406</v>
      </c>
      <c r="H15" s="9" t="s">
        <v>407</v>
      </c>
      <c r="I15" s="9" t="s">
        <v>408</v>
      </c>
    </row>
    <row r="16" customFormat="false" ht="174.75" hidden="false" customHeight="true" outlineLevel="0" collapsed="false">
      <c r="A16" s="15" t="s">
        <v>107</v>
      </c>
      <c r="B16" s="9" t="s">
        <v>409</v>
      </c>
      <c r="C16" s="9" t="s">
        <v>410</v>
      </c>
      <c r="D16" s="9" t="s">
        <v>411</v>
      </c>
      <c r="E16" s="9" t="s">
        <v>412</v>
      </c>
      <c r="F16" s="9" t="s">
        <v>413</v>
      </c>
      <c r="G16" s="9" t="s">
        <v>414</v>
      </c>
      <c r="H16" s="9" t="s">
        <v>415</v>
      </c>
      <c r="I16" s="9" t="s">
        <v>416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52"/>
    <col collapsed="false" customWidth="true" hidden="false" outlineLevel="0" max="3" min="3" style="1" width="14"/>
    <col collapsed="false" customWidth="true" hidden="false" outlineLevel="0" max="5" min="4" style="1" width="13"/>
    <col collapsed="false" customWidth="true" hidden="false" outlineLevel="0" max="7" min="6" style="1" width="11"/>
    <col collapsed="false" customWidth="true" hidden="false" outlineLevel="0" max="8" min="8" style="1" width="72"/>
  </cols>
  <sheetData>
    <row r="1" customFormat="false" ht="15.75" hidden="false" customHeight="true" outlineLevel="0" collapsed="false">
      <c r="A1" s="21" t="s">
        <v>417</v>
      </c>
    </row>
    <row r="2" customFormat="false" ht="15" hidden="false" customHeight="true" outlineLevel="0" collapsed="false">
      <c r="A2" s="22" t="s">
        <v>418</v>
      </c>
      <c r="B2" s="22"/>
      <c r="C2" s="22"/>
      <c r="D2" s="22"/>
      <c r="E2" s="22"/>
      <c r="F2" s="22"/>
      <c r="G2" s="22"/>
      <c r="H2" s="22"/>
    </row>
    <row r="3" customFormat="false" ht="15" hidden="false" customHeight="true" outlineLevel="0" collapsed="false">
      <c r="A3" s="23" t="s">
        <v>419</v>
      </c>
      <c r="B3" s="23"/>
      <c r="C3" s="23"/>
      <c r="D3" s="23"/>
      <c r="E3" s="23"/>
      <c r="F3" s="23"/>
      <c r="G3" s="23"/>
      <c r="H3" s="23"/>
    </row>
    <row r="4" customFormat="false" ht="30" hidden="false" customHeight="true" outlineLevel="0" collapsed="false">
      <c r="A4" s="24" t="s">
        <v>420</v>
      </c>
      <c r="B4" s="24"/>
      <c r="C4" s="24"/>
      <c r="D4" s="24"/>
      <c r="E4" s="24"/>
      <c r="F4" s="24"/>
      <c r="G4" s="24"/>
      <c r="H4" s="24"/>
    </row>
    <row r="5" customFormat="false" ht="33.75" hidden="false" customHeight="true" outlineLevel="0" collapsed="false">
      <c r="A5" s="7" t="s">
        <v>183</v>
      </c>
      <c r="B5" s="7" t="s">
        <v>184</v>
      </c>
      <c r="C5" s="7" t="s">
        <v>421</v>
      </c>
      <c r="D5" s="7" t="s">
        <v>422</v>
      </c>
      <c r="E5" s="7" t="s">
        <v>423</v>
      </c>
      <c r="F5" s="7" t="s">
        <v>424</v>
      </c>
      <c r="G5" s="7" t="s">
        <v>425</v>
      </c>
      <c r="H5" s="7" t="s">
        <v>426</v>
      </c>
    </row>
    <row r="6" customFormat="false" ht="30" hidden="false" customHeight="true" outlineLevel="0" collapsed="false">
      <c r="A6" s="25" t="s">
        <v>52</v>
      </c>
      <c r="B6" s="26" t="s">
        <v>229</v>
      </c>
      <c r="C6" s="27" t="n">
        <v>5</v>
      </c>
      <c r="D6" s="27" t="n">
        <v>5</v>
      </c>
      <c r="E6" s="27" t="n">
        <v>4</v>
      </c>
      <c r="F6" s="28" t="n">
        <f aca="false">IFERROR(ROUND((C6*D6)/E6,2),0)</f>
        <v>6.25</v>
      </c>
      <c r="G6" s="27" t="n">
        <f aca="false">RANK(F6,$F$6:$F$20)</f>
        <v>5</v>
      </c>
      <c r="H6" s="26" t="s">
        <v>427</v>
      </c>
    </row>
    <row r="7" customFormat="false" ht="30" hidden="false" customHeight="true" outlineLevel="0" collapsed="false">
      <c r="A7" s="25" t="s">
        <v>82</v>
      </c>
      <c r="B7" s="26" t="s">
        <v>201</v>
      </c>
      <c r="C7" s="27" t="n">
        <v>5</v>
      </c>
      <c r="D7" s="27" t="n">
        <v>5</v>
      </c>
      <c r="E7" s="27" t="n">
        <v>3</v>
      </c>
      <c r="F7" s="28" t="n">
        <f aca="false">IFERROR(ROUND((C7*D7)/E7,2),0)</f>
        <v>8.33</v>
      </c>
      <c r="G7" s="27" t="n">
        <f aca="false">RANK(F7,$F$6:$F$20)</f>
        <v>2</v>
      </c>
      <c r="H7" s="26" t="s">
        <v>428</v>
      </c>
    </row>
    <row r="8" customFormat="false" ht="30" hidden="false" customHeight="true" outlineLevel="0" collapsed="false">
      <c r="A8" s="25" t="s">
        <v>162</v>
      </c>
      <c r="B8" s="26" t="s">
        <v>247</v>
      </c>
      <c r="C8" s="27" t="n">
        <v>5</v>
      </c>
      <c r="D8" s="27" t="n">
        <v>4</v>
      </c>
      <c r="E8" s="27" t="n">
        <v>4</v>
      </c>
      <c r="F8" s="28" t="n">
        <f aca="false">IFERROR(ROUND((C8*D8)/E8,2),0)</f>
        <v>5</v>
      </c>
      <c r="G8" s="27" t="n">
        <f aca="false">RANK(F8,$F$6:$F$20)</f>
        <v>10</v>
      </c>
      <c r="H8" s="26" t="s">
        <v>429</v>
      </c>
    </row>
    <row r="9" customFormat="false" ht="30" hidden="false" customHeight="true" outlineLevel="0" collapsed="false">
      <c r="A9" s="25" t="s">
        <v>75</v>
      </c>
      <c r="B9" s="26" t="s">
        <v>193</v>
      </c>
      <c r="C9" s="27" t="n">
        <v>5</v>
      </c>
      <c r="D9" s="27" t="n">
        <v>4</v>
      </c>
      <c r="E9" s="27" t="n">
        <v>3</v>
      </c>
      <c r="F9" s="28" t="n">
        <f aca="false">IFERROR(ROUND((C9*D9)/E9,2),0)</f>
        <v>6.67</v>
      </c>
      <c r="G9" s="27" t="n">
        <f aca="false">RANK(F9,$F$6:$F$20)</f>
        <v>4</v>
      </c>
      <c r="H9" s="26" t="s">
        <v>430</v>
      </c>
    </row>
    <row r="10" customFormat="false" ht="30" hidden="false" customHeight="true" outlineLevel="0" collapsed="false">
      <c r="A10" s="25" t="s">
        <v>95</v>
      </c>
      <c r="B10" s="26" t="s">
        <v>208</v>
      </c>
      <c r="C10" s="27" t="n">
        <v>5</v>
      </c>
      <c r="D10" s="27" t="n">
        <v>4</v>
      </c>
      <c r="E10" s="27" t="n">
        <v>4</v>
      </c>
      <c r="F10" s="28" t="n">
        <f aca="false">IFERROR(ROUND((C10*D10)/E10,2),0)</f>
        <v>5</v>
      </c>
      <c r="G10" s="27" t="n">
        <f aca="false">RANK(F10,$F$6:$F$20)</f>
        <v>10</v>
      </c>
      <c r="H10" s="26" t="s">
        <v>431</v>
      </c>
    </row>
    <row r="11" customFormat="false" ht="30" hidden="false" customHeight="true" outlineLevel="0" collapsed="false">
      <c r="A11" s="25" t="s">
        <v>125</v>
      </c>
      <c r="B11" s="26" t="s">
        <v>235</v>
      </c>
      <c r="C11" s="27" t="n">
        <v>4</v>
      </c>
      <c r="D11" s="27" t="n">
        <v>4</v>
      </c>
      <c r="E11" s="27" t="n">
        <v>4</v>
      </c>
      <c r="F11" s="28" t="n">
        <f aca="false">IFERROR(ROUND((C11*D11)/E11,2),0)</f>
        <v>4</v>
      </c>
      <c r="G11" s="27" t="n">
        <f aca="false">RANK(F11,$F$6:$F$20)</f>
        <v>14</v>
      </c>
      <c r="H11" s="26" t="s">
        <v>432</v>
      </c>
    </row>
    <row r="12" customFormat="false" ht="30" hidden="false" customHeight="true" outlineLevel="0" collapsed="false">
      <c r="A12" s="25" t="s">
        <v>175</v>
      </c>
      <c r="B12" s="26" t="s">
        <v>433</v>
      </c>
      <c r="C12" s="27" t="n">
        <v>5</v>
      </c>
      <c r="D12" s="27" t="n">
        <v>5</v>
      </c>
      <c r="E12" s="27" t="n">
        <v>5</v>
      </c>
      <c r="F12" s="28" t="n">
        <f aca="false">IFERROR(ROUND((C12*D12)/E12,2),0)</f>
        <v>5</v>
      </c>
      <c r="G12" s="27" t="n">
        <f aca="false">RANK(F12,$F$6:$F$20)</f>
        <v>10</v>
      </c>
      <c r="H12" s="26" t="s">
        <v>434</v>
      </c>
    </row>
    <row r="13" customFormat="false" ht="30" hidden="false" customHeight="true" outlineLevel="0" collapsed="false">
      <c r="A13" s="25" t="s">
        <v>101</v>
      </c>
      <c r="B13" s="26" t="s">
        <v>223</v>
      </c>
      <c r="C13" s="27" t="n">
        <v>4</v>
      </c>
      <c r="D13" s="27" t="n">
        <v>4</v>
      </c>
      <c r="E13" s="27" t="n">
        <v>3</v>
      </c>
      <c r="F13" s="28" t="n">
        <f aca="false">IFERROR(ROUND((C13*D13)/E13,2),0)</f>
        <v>5.33</v>
      </c>
      <c r="G13" s="27" t="n">
        <f aca="false">RANK(F13,$F$6:$F$20)</f>
        <v>9</v>
      </c>
      <c r="H13" s="26" t="s">
        <v>435</v>
      </c>
    </row>
    <row r="14" customFormat="false" ht="30" hidden="false" customHeight="true" outlineLevel="0" collapsed="false">
      <c r="A14" s="25" t="s">
        <v>145</v>
      </c>
      <c r="B14" s="26" t="s">
        <v>436</v>
      </c>
      <c r="C14" s="27" t="n">
        <v>3</v>
      </c>
      <c r="D14" s="27" t="n">
        <v>3</v>
      </c>
      <c r="E14" s="27" t="n">
        <v>1</v>
      </c>
      <c r="F14" s="28" t="n">
        <f aca="false">IFERROR(ROUND((C14*D14)/E14,2),0)</f>
        <v>9</v>
      </c>
      <c r="G14" s="27" t="n">
        <f aca="false">RANK(F14,$F$6:$F$20)</f>
        <v>1</v>
      </c>
      <c r="H14" s="26" t="s">
        <v>437</v>
      </c>
    </row>
    <row r="15" customFormat="false" ht="30" hidden="false" customHeight="true" outlineLevel="0" collapsed="false">
      <c r="A15" s="25" t="s">
        <v>107</v>
      </c>
      <c r="B15" s="26" t="s">
        <v>281</v>
      </c>
      <c r="C15" s="27" t="n">
        <v>2</v>
      </c>
      <c r="D15" s="27" t="n">
        <v>4</v>
      </c>
      <c r="E15" s="27" t="n">
        <v>1</v>
      </c>
      <c r="F15" s="28" t="n">
        <f aca="false">IFERROR(ROUND((C15*D15)/E15,2),0)</f>
        <v>8</v>
      </c>
      <c r="G15" s="27" t="n">
        <f aca="false">RANK(F15,$F$6:$F$20)</f>
        <v>3</v>
      </c>
      <c r="H15" s="26" t="s">
        <v>438</v>
      </c>
    </row>
    <row r="16" customFormat="false" ht="30" hidden="false" customHeight="true" outlineLevel="0" collapsed="false">
      <c r="A16" s="25" t="s">
        <v>156</v>
      </c>
      <c r="B16" s="26" t="s">
        <v>251</v>
      </c>
      <c r="C16" s="27" t="n">
        <v>3</v>
      </c>
      <c r="D16" s="27" t="n">
        <v>4</v>
      </c>
      <c r="E16" s="27" t="n">
        <v>2</v>
      </c>
      <c r="F16" s="28" t="n">
        <f aca="false">IFERROR(ROUND((C16*D16)/E16,2),0)</f>
        <v>6</v>
      </c>
      <c r="G16" s="27" t="n">
        <f aca="false">RANK(F16,$F$6:$F$20)</f>
        <v>6</v>
      </c>
      <c r="H16" s="26" t="s">
        <v>439</v>
      </c>
    </row>
    <row r="17" customFormat="false" ht="30" hidden="false" customHeight="true" outlineLevel="0" collapsed="false">
      <c r="A17" s="25" t="s">
        <v>119</v>
      </c>
      <c r="B17" s="26" t="s">
        <v>215</v>
      </c>
      <c r="C17" s="27" t="n">
        <v>4</v>
      </c>
      <c r="D17" s="27" t="n">
        <v>3</v>
      </c>
      <c r="E17" s="27" t="n">
        <v>2</v>
      </c>
      <c r="F17" s="28" t="n">
        <f aca="false">IFERROR(ROUND((C17*D17)/E17,2),0)</f>
        <v>6</v>
      </c>
      <c r="G17" s="27" t="n">
        <f aca="false">RANK(F17,$F$6:$F$20)</f>
        <v>6</v>
      </c>
      <c r="H17" s="26" t="s">
        <v>440</v>
      </c>
    </row>
    <row r="18" customFormat="false" ht="30" hidden="false" customHeight="true" outlineLevel="0" collapsed="false">
      <c r="A18" s="25" t="s">
        <v>182</v>
      </c>
      <c r="B18" s="26" t="s">
        <v>441</v>
      </c>
      <c r="C18" s="27" t="n">
        <v>5</v>
      </c>
      <c r="D18" s="27" t="n">
        <v>2</v>
      </c>
      <c r="E18" s="27" t="n">
        <v>2</v>
      </c>
      <c r="F18" s="28" t="n">
        <f aca="false">IFERROR(ROUND((C18*D18)/E18,2),0)</f>
        <v>5</v>
      </c>
      <c r="G18" s="27" t="n">
        <f aca="false">RANK(F18,$F$6:$F$20)</f>
        <v>10</v>
      </c>
      <c r="H18" s="26" t="s">
        <v>442</v>
      </c>
    </row>
    <row r="19" customFormat="false" ht="30" hidden="false" customHeight="true" outlineLevel="0" collapsed="false">
      <c r="A19" s="25" t="s">
        <v>135</v>
      </c>
      <c r="B19" s="26" t="s">
        <v>443</v>
      </c>
      <c r="C19" s="27" t="n">
        <v>3</v>
      </c>
      <c r="D19" s="27" t="n">
        <v>4</v>
      </c>
      <c r="E19" s="27" t="n">
        <v>2</v>
      </c>
      <c r="F19" s="28" t="n">
        <f aca="false">IFERROR(ROUND((C19*D19)/E19,2),0)</f>
        <v>6</v>
      </c>
      <c r="G19" s="27" t="n">
        <f aca="false">RANK(F19,$F$6:$F$20)</f>
        <v>6</v>
      </c>
      <c r="H19" s="26" t="s">
        <v>444</v>
      </c>
    </row>
    <row r="20" customFormat="false" ht="30" hidden="false" customHeight="true" outlineLevel="0" collapsed="false">
      <c r="A20" s="25" t="s">
        <v>169</v>
      </c>
      <c r="B20" s="26" t="s">
        <v>445</v>
      </c>
      <c r="C20" s="27" t="n">
        <v>2</v>
      </c>
      <c r="D20" s="27" t="n">
        <v>3</v>
      </c>
      <c r="E20" s="27" t="n">
        <v>3</v>
      </c>
      <c r="F20" s="28" t="n">
        <f aca="false">IFERROR(ROUND((C20*D20)/E20,2),0)</f>
        <v>2</v>
      </c>
      <c r="G20" s="27" t="n">
        <f aca="false">RANK(F20,$F$6:$F$20)</f>
        <v>15</v>
      </c>
      <c r="H20" s="26" t="s">
        <v>446</v>
      </c>
    </row>
    <row r="23" customFormat="false" ht="15" hidden="false" customHeight="true" outlineLevel="0" collapsed="false">
      <c r="A23" s="29" t="s">
        <v>447</v>
      </c>
    </row>
    <row r="24" customFormat="false" ht="27.75" hidden="false" customHeight="true" outlineLevel="0" collapsed="false">
      <c r="A24" s="18" t="s">
        <v>448</v>
      </c>
      <c r="B24" s="30" t="s">
        <v>449</v>
      </c>
      <c r="C24" s="30"/>
      <c r="D24" s="30"/>
      <c r="E24" s="30"/>
      <c r="F24" s="30"/>
      <c r="G24" s="30"/>
      <c r="H24" s="30"/>
    </row>
    <row r="25" customFormat="false" ht="27.75" hidden="false" customHeight="true" outlineLevel="0" collapsed="false">
      <c r="A25" s="18" t="s">
        <v>450</v>
      </c>
      <c r="B25" s="30" t="s">
        <v>451</v>
      </c>
      <c r="C25" s="30"/>
      <c r="D25" s="30"/>
      <c r="E25" s="30"/>
      <c r="F25" s="30"/>
      <c r="G25" s="30"/>
      <c r="H25" s="30"/>
    </row>
    <row r="26" customFormat="false" ht="27.75" hidden="false" customHeight="true" outlineLevel="0" collapsed="false">
      <c r="A26" s="18" t="s">
        <v>452</v>
      </c>
      <c r="B26" s="30" t="s">
        <v>453</v>
      </c>
      <c r="C26" s="30"/>
      <c r="D26" s="30"/>
      <c r="E26" s="30"/>
      <c r="F26" s="30"/>
      <c r="G26" s="30"/>
      <c r="H26" s="30"/>
    </row>
    <row r="27" customFormat="false" ht="27.75" hidden="false" customHeight="true" outlineLevel="0" collapsed="false">
      <c r="A27" s="18" t="s">
        <v>454</v>
      </c>
      <c r="B27" s="30" t="s">
        <v>455</v>
      </c>
      <c r="C27" s="30"/>
      <c r="D27" s="30"/>
      <c r="E27" s="30"/>
      <c r="F27" s="30"/>
      <c r="G27" s="30"/>
      <c r="H27" s="30"/>
    </row>
  </sheetData>
  <mergeCells count="7">
    <mergeCell ref="A2:H2"/>
    <mergeCell ref="A3:H3"/>
    <mergeCell ref="A4:H4"/>
    <mergeCell ref="B24:H24"/>
    <mergeCell ref="B25:H25"/>
    <mergeCell ref="B26:H26"/>
    <mergeCell ref="B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2026-07-28T01:41:29Z</dcterms:created>
  <dc:creator>openpyxl</dc:creator>
  <dc:description/>
  <dc:language>en-US</dc:language>
  <cp:lastModifiedBy/>
  <dcterms:modified xsi:type="dcterms:W3CDTF">2026-07-28T01:42:12Z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