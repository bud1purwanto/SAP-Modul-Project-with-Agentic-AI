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'Sheet1'!$B$2:$L$9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 Narrow"/>
      <b val="1"/>
      <color rgb="FFFFFFFF"/>
      <sz val="10"/>
    </font>
    <font>
      <name val="Aptos Narrow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theme="9" tint="0.399975585192419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548235"/>
      </top>
      <bottom/>
      <diagonal/>
    </border>
    <border>
      <left/>
      <right/>
      <top style="medium">
        <color rgb="FFA9D08E"/>
      </top>
      <bottom style="medium">
        <color rgb="FFA9D08E"/>
      </bottom>
      <diagonal/>
    </border>
    <border>
      <left style="medium">
        <color rgb="FFA9D08E"/>
      </left>
      <right style="medium">
        <color rgb="FFA9D08E"/>
      </right>
      <top style="medium">
        <color rgb="FFA9D08E"/>
      </top>
      <bottom style="medium">
        <color rgb="FFA9D08E"/>
      </bottom>
      <diagonal/>
    </border>
    <border>
      <left/>
      <right/>
      <top/>
      <bottom style="medium">
        <color rgb="FFA9D08E"/>
      </bottom>
      <diagonal/>
    </border>
    <border>
      <left style="medium">
        <color rgb="FFA9D08E"/>
      </left>
      <right style="medium">
        <color rgb="FFA9D08E"/>
      </right>
      <top/>
      <bottom style="medium">
        <color rgb="FFA9D08E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3" fontId="3" fillId="0" borderId="3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right"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3" fontId="3" fillId="0" borderId="5" applyAlignment="1" pivotButton="0" quotePrefix="0" xfId="0">
      <alignment horizontal="right" vertical="center"/>
    </xf>
    <xf numFmtId="3" fontId="3" fillId="0" borderId="4" applyAlignment="1" pivotButton="0" quotePrefix="0" xfId="0">
      <alignment horizontal="right" vertical="center"/>
    </xf>
    <xf numFmtId="0" fontId="2" fillId="2" borderId="0" applyAlignment="1" pivotButton="0" quotePrefix="0" xfId="0">
      <alignment vertical="center"/>
    </xf>
    <xf numFmtId="0" fontId="3" fillId="0" borderId="2" applyAlignment="1" pivotButton="0" quotePrefix="0" xfId="0">
      <alignment horizontal="right" vertical="center"/>
    </xf>
    <xf numFmtId="3" fontId="1" fillId="0" borderId="0" pivotButton="0" quotePrefix="0" xfId="0"/>
    <xf numFmtId="0" fontId="1" fillId="3" borderId="0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3" fillId="0" borderId="5" applyAlignment="1" pivotButton="0" quotePrefix="0" xfId="0">
      <alignment horizontal="right" vertical="center"/>
    </xf>
    <xf numFmtId="164" fontId="3" fillId="0" borderId="3" applyAlignment="1" pivotButton="0" quotePrefix="0" xfId="0">
      <alignment horizontal="right" vertical="center"/>
    </xf>
    <xf numFmtId="164" fontId="1" fillId="0" borderId="0" pivotButton="0" quotePrefix="0" xfId="0"/>
    <xf numFmtId="164" fontId="3" fillId="0" borderId="0" applyAlignment="1" pivotButton="0" quotePrefix="0" xfId="0">
      <alignment horizontal="right" vertic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9"/>
  <sheetViews>
    <sheetView tabSelected="1" zoomScale="115" zoomScaleNormal="115" workbookViewId="0">
      <selection activeCell="C13" sqref="C13"/>
    </sheetView>
  </sheetViews>
  <sheetFormatPr baseColWidth="8" defaultRowHeight="14.4"/>
  <cols>
    <col width="3.33203125" customWidth="1" min="1" max="1"/>
    <col width="20.88671875" bestFit="1" customWidth="1" min="2" max="2"/>
    <col width="22.33203125" bestFit="1" customWidth="1" min="3" max="3"/>
    <col width="18.77734375" bestFit="1" customWidth="1" min="4" max="4"/>
    <col width="10.21875" bestFit="1" customWidth="1" min="5" max="5"/>
    <col width="13.21875" bestFit="1" customWidth="1" min="6" max="6"/>
    <col hidden="1" width="15.88671875" customWidth="1" min="7" max="7"/>
    <col hidden="1" width="16.77734375" customWidth="1" min="8" max="8"/>
    <col hidden="1" width="8.109375" customWidth="1" min="9" max="9"/>
    <col hidden="1" min="10" max="10"/>
    <col width="17.5546875" bestFit="1" customWidth="1" min="11" max="11"/>
    <col width="26.5546875" bestFit="1" customWidth="1" min="12" max="12"/>
    <col width="16" customWidth="1" min="13" max="13"/>
    <col width="13" customWidth="1" min="14" max="14"/>
  </cols>
  <sheetData>
    <row r="1" ht="15" customHeight="1" thickBot="1"/>
    <row r="2">
      <c r="B2" s="1" t="inlineStr">
        <is>
          <t>Material Raw Recyle</t>
        </is>
      </c>
      <c r="C2" s="1" t="inlineStr">
        <is>
          <t>Material Description</t>
        </is>
      </c>
      <c r="D2" s="1" t="inlineStr">
        <is>
          <t>StorLoc Description</t>
        </is>
      </c>
      <c r="E2" s="1" t="inlineStr">
        <is>
          <t>StorLoc</t>
        </is>
      </c>
      <c r="F2" s="1" t="inlineStr">
        <is>
          <t>Quantity (KG)</t>
        </is>
      </c>
      <c r="G2" s="1" t="inlineStr">
        <is>
          <t>Total Cost (USD)</t>
        </is>
      </c>
      <c r="H2" s="1" t="inlineStr">
        <is>
          <t>Total Cost (IDR)</t>
        </is>
      </c>
      <c r="I2" s="1" t="inlineStr">
        <is>
          <t>_IDR/Kg</t>
        </is>
      </c>
      <c r="J2" s="1" t="inlineStr">
        <is>
          <t>_USD/Kg</t>
        </is>
      </c>
      <c r="K2" s="11" t="inlineStr">
        <is>
          <t>Material Recycle</t>
        </is>
      </c>
      <c r="L2" s="11" t="inlineStr">
        <is>
          <t>Note</t>
        </is>
      </c>
      <c r="M2" s="11" t="inlineStr">
        <is>
          <t>Order</t>
        </is>
      </c>
      <c r="N2" s="11" t="inlineStr">
        <is>
          <t>Matdoc</t>
        </is>
      </c>
    </row>
    <row r="3" ht="15" customHeight="1" thickBot="1">
      <c r="B3" s="6" t="inlineStr">
        <is>
          <t>R-SRE-01</t>
        </is>
      </c>
      <c r="C3" s="6" t="inlineStr">
        <is>
          <t>RAW PE-RECYCLE 01</t>
        </is>
      </c>
      <c r="D3" s="6" t="inlineStr">
        <is>
          <t>Raw Recycle OPP7</t>
        </is>
      </c>
      <c r="E3" s="15" t="n">
        <v>2171</v>
      </c>
      <c r="F3" s="17" t="n">
        <v>943.73</v>
      </c>
      <c r="G3" s="8" t="n">
        <v>868</v>
      </c>
      <c r="H3" s="9" t="n">
        <v>15233690</v>
      </c>
      <c r="I3" s="10" t="n">
        <v>16142</v>
      </c>
      <c r="J3" s="7" t="n">
        <v>0.92</v>
      </c>
      <c r="K3" t="inlineStr">
        <is>
          <t>SRP-E</t>
        </is>
      </c>
      <c r="L3" t="inlineStr">
        <is>
          <t xml:space="preserve">PRO Recycle GI 261 tanpa 101 </t>
        </is>
      </c>
      <c r="M3" s="21" t="inlineStr">
        <is>
          <t>100007091563</t>
        </is>
      </c>
      <c r="N3" s="21" t="inlineStr">
        <is>
          <t>4932206006</t>
        </is>
      </c>
      <c r="P3" s="20" t="n"/>
    </row>
    <row r="4" ht="15" customHeight="1" thickBot="1">
      <c r="B4" s="6" t="inlineStr">
        <is>
          <t>R-SRP-E</t>
        </is>
      </c>
      <c r="C4" s="6" t="inlineStr">
        <is>
          <t>RAW PP-RECYCLE E</t>
        </is>
      </c>
      <c r="D4" s="6" t="inlineStr">
        <is>
          <t>W.Comb OPP6</t>
        </is>
      </c>
      <c r="E4" s="15" t="inlineStr">
        <is>
          <t>2P23</t>
        </is>
      </c>
      <c r="F4" s="17" t="n">
        <v>3.42</v>
      </c>
      <c r="G4" s="8" t="n">
        <v>3</v>
      </c>
      <c r="H4" s="9" t="n">
        <v>55206</v>
      </c>
      <c r="I4" s="10" t="n">
        <v>16142</v>
      </c>
      <c r="J4" s="7" t="n">
        <v>0.92</v>
      </c>
      <c r="K4" t="inlineStr">
        <is>
          <t>SRP-E</t>
        </is>
      </c>
      <c r="L4" t="inlineStr">
        <is>
          <t xml:space="preserve">PRO Recycle GI 261 tanpa 101 </t>
        </is>
      </c>
      <c r="M4" s="21" t="inlineStr">
        <is>
          <t>100007091563</t>
        </is>
      </c>
      <c r="N4" s="21" t="inlineStr">
        <is>
          <t>4932206006</t>
        </is>
      </c>
      <c r="P4" s="20" t="n"/>
    </row>
    <row r="5" ht="15" customHeight="1" thickBot="1">
      <c r="B5" s="6" t="inlineStr">
        <is>
          <t>R-SRP-I</t>
        </is>
      </c>
      <c r="C5" s="6" t="inlineStr">
        <is>
          <t>RAW PP-RECYCLE I</t>
        </is>
      </c>
      <c r="D5" s="6" t="inlineStr">
        <is>
          <t>S.Core FG OPP6</t>
        </is>
      </c>
      <c r="E5" s="15" t="inlineStr">
        <is>
          <t>2P45</t>
        </is>
      </c>
      <c r="F5" s="17" t="n">
        <v>22.81</v>
      </c>
      <c r="G5" s="8" t="n">
        <v>21</v>
      </c>
      <c r="H5" s="9" t="n">
        <v>368199</v>
      </c>
      <c r="I5" s="10" t="n">
        <v>16142</v>
      </c>
      <c r="J5" s="7" t="n">
        <v>0.92</v>
      </c>
      <c r="K5" t="inlineStr">
        <is>
          <t>SRP-E</t>
        </is>
      </c>
      <c r="L5" t="inlineStr">
        <is>
          <t xml:space="preserve">PRO Recycle GI 261 tanpa 101 </t>
        </is>
      </c>
      <c r="M5" s="21" t="inlineStr">
        <is>
          <t>100007091563</t>
        </is>
      </c>
      <c r="N5" s="21" t="inlineStr">
        <is>
          <t>4932206006</t>
        </is>
      </c>
      <c r="P5" s="20" t="n"/>
    </row>
    <row r="6" ht="15" customHeight="1" thickBot="1">
      <c r="B6" s="6" t="inlineStr">
        <is>
          <t>R-SRP-I</t>
        </is>
      </c>
      <c r="C6" s="6" t="inlineStr">
        <is>
          <t>RAW PP-RECYCLE I</t>
        </is>
      </c>
      <c r="D6" s="6" t="inlineStr">
        <is>
          <t>W.Comb FG OPP6</t>
        </is>
      </c>
      <c r="E6" s="15" t="inlineStr">
        <is>
          <t>2P25</t>
        </is>
      </c>
      <c r="F6" s="17" t="n">
        <v>3.64</v>
      </c>
      <c r="G6" s="8" t="n">
        <v>3</v>
      </c>
      <c r="H6" s="9" t="n">
        <v>58757</v>
      </c>
      <c r="I6" s="10" t="n">
        <v>16142</v>
      </c>
      <c r="J6" s="7" t="n">
        <v>0.92</v>
      </c>
      <c r="K6" t="inlineStr">
        <is>
          <t>SRP-E</t>
        </is>
      </c>
      <c r="L6" t="inlineStr">
        <is>
          <t xml:space="preserve">PRO Recycle GI 261 tanpa 101 </t>
        </is>
      </c>
      <c r="M6" s="21" t="inlineStr">
        <is>
          <t>100007091563</t>
        </is>
      </c>
      <c r="N6" s="21" t="inlineStr">
        <is>
          <t>4932206006</t>
        </is>
      </c>
      <c r="P6" s="20" t="n"/>
    </row>
    <row r="7" ht="15" customHeight="1" thickBot="1">
      <c r="B7" s="2" t="inlineStr">
        <is>
          <t>R-SRP-G</t>
        </is>
      </c>
      <c r="C7" s="2" t="inlineStr">
        <is>
          <t>RAW PP-RECYCLE G</t>
        </is>
      </c>
      <c r="D7" s="2" t="inlineStr">
        <is>
          <t>CX OPP4</t>
        </is>
      </c>
      <c r="E7" s="16" t="inlineStr">
        <is>
          <t>2P31</t>
        </is>
      </c>
      <c r="F7" s="18" t="n">
        <v>5.302</v>
      </c>
      <c r="G7" s="12" t="n">
        <v>5</v>
      </c>
      <c r="H7" s="3" t="n">
        <v>85585</v>
      </c>
      <c r="I7" s="4" t="n">
        <v>16142</v>
      </c>
      <c r="J7" s="5" t="n">
        <v>0.92</v>
      </c>
      <c r="K7" t="inlineStr">
        <is>
          <t>SRP-E</t>
        </is>
      </c>
      <c r="L7" t="inlineStr">
        <is>
          <t xml:space="preserve">PRO Recycle GI 261 tanpa 101 </t>
        </is>
      </c>
      <c r="M7" s="21" t="inlineStr">
        <is>
          <t>100007091563</t>
        </is>
      </c>
      <c r="N7" s="21" t="inlineStr">
        <is>
          <t>4932206006</t>
        </is>
      </c>
      <c r="P7" s="20" t="n"/>
    </row>
    <row r="8" ht="15" customHeight="1" thickBot="1">
      <c r="B8" s="6" t="inlineStr">
        <is>
          <t>R-SRP-G</t>
        </is>
      </c>
      <c r="C8" s="6" t="inlineStr">
        <is>
          <t>RAW PP-RECYCLE G</t>
        </is>
      </c>
      <c r="D8" s="6" t="inlineStr">
        <is>
          <t>W.Comb FG OPP</t>
        </is>
      </c>
      <c r="E8" s="15" t="inlineStr">
        <is>
          <t>2P24</t>
        </is>
      </c>
      <c r="F8" s="17" t="n">
        <v>2.62</v>
      </c>
      <c r="G8" s="8" t="n">
        <v>2</v>
      </c>
      <c r="H8" s="9" t="n">
        <v>42292</v>
      </c>
      <c r="I8" s="10" t="n">
        <v>16142</v>
      </c>
      <c r="J8" s="7" t="n">
        <v>0.92</v>
      </c>
      <c r="K8" t="inlineStr">
        <is>
          <t>SRP-E</t>
        </is>
      </c>
      <c r="L8" t="inlineStr">
        <is>
          <t xml:space="preserve">PRO Recycle GI 261 tanpa 101 </t>
        </is>
      </c>
      <c r="M8" s="21" t="inlineStr">
        <is>
          <t>100007091563</t>
        </is>
      </c>
      <c r="N8" s="21" t="inlineStr">
        <is>
          <t>4932206006</t>
        </is>
      </c>
      <c r="P8" s="20" t="n"/>
    </row>
    <row r="9">
      <c r="F9" s="19">
        <f>SUM(F3:F8)</f>
        <v/>
      </c>
      <c r="G9" s="14">
        <f>G3+G4+G5+G6+G7+G8</f>
        <v/>
      </c>
      <c r="H9" s="13" t="n"/>
    </row>
  </sheetData>
  <autoFilter ref="B2:L9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Alfa Nur Fitriana Islami (IT)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2026-07-15T06:43:20Z</dcterms:modified>
  <cp:lastModifiedBy>officehomeacc@gmail.com</cp:lastModifiedBy>
</cp:coreProperties>
</file>